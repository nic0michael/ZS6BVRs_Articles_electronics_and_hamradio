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2N3904" sheetId="1" state="visible" r:id="rId1"/>
    <sheet name="2N3904-2" sheetId="2" state="visible" r:id="rId2"/>
    <sheet name="2N5551" sheetId="3" state="visible" r:id="rId3"/>
  </sheets>
  <calcPr/>
</workbook>
</file>

<file path=xl/sharedStrings.xml><?xml version="1.0" encoding="utf-8"?>
<sst xmlns="http://schemas.openxmlformats.org/spreadsheetml/2006/main" count="59" uniqueCount="59">
  <si>
    <t xml:space="preserve">Transistor Bias Calculator (NPN) + Input Impedance + Voltage Gain dB - Fully Dynamic v2</t>
  </si>
  <si>
    <t>Transistor</t>
  </si>
  <si>
    <t>2N3904</t>
  </si>
  <si>
    <t xml:space="preserve">INPUTS - Change any of these freely</t>
  </si>
  <si>
    <t>Parameter</t>
  </si>
  <si>
    <t>Value</t>
  </si>
  <si>
    <t>Unit</t>
  </si>
  <si>
    <t>Notes</t>
  </si>
  <si>
    <t>VCC</t>
  </si>
  <si>
    <t>V</t>
  </si>
  <si>
    <t xml:space="preserve">Supply voltage</t>
  </si>
  <si>
    <t xml:space="preserve">Beta (β or hFE)</t>
  </si>
  <si>
    <t xml:space="preserve">β </t>
  </si>
  <si>
    <t xml:space="preserve">Current gain (100–400 typical)</t>
  </si>
  <si>
    <t>Measured</t>
  </si>
  <si>
    <t xml:space="preserve">RC </t>
  </si>
  <si>
    <t>Ω</t>
  </si>
  <si>
    <t xml:space="preserve">0.65–0.72 V</t>
  </si>
  <si>
    <t>RE</t>
  </si>
  <si>
    <t xml:space="preserve">1kΩ Strongly recommended for stability</t>
  </si>
  <si>
    <t xml:space="preserve">V_RE (across RE)</t>
  </si>
  <si>
    <t xml:space="preserve">V_BE </t>
  </si>
  <si>
    <t xml:space="preserve">R2 (base→GND)  </t>
  </si>
  <si>
    <t xml:space="preserve">CALCULATED VALUES (auto computed)</t>
  </si>
  <si>
    <t xml:space="preserve">Ie (A) = V_RE / RE</t>
  </si>
  <si>
    <t>A</t>
  </si>
  <si>
    <t>mA</t>
  </si>
  <si>
    <t xml:space="preserve">Ib (A) = Ie / (HFE + 1)</t>
  </si>
  <si>
    <t>uA</t>
  </si>
  <si>
    <t xml:space="preserve"> Ic (A) = HFE * Ib</t>
  </si>
  <si>
    <t xml:space="preserve">VB  (base→GND) </t>
  </si>
  <si>
    <t xml:space="preserve">R1 (ohms) = (VCC - Vb) / (Vb/R2 + Ib)</t>
  </si>
  <si>
    <t>kΩ</t>
  </si>
  <si>
    <t>k</t>
  </si>
  <si>
    <t xml:space="preserve">Collector voltage Vc (V)</t>
  </si>
  <si>
    <t xml:space="preserve">VCE (V)</t>
  </si>
  <si>
    <t xml:space="preserve">Intrinsic and small-signal parameters</t>
  </si>
  <si>
    <t xml:space="preserve">r_e (ohm) = 26mV / Ie</t>
  </si>
  <si>
    <t xml:space="preserve">r_pi (ohm) = HFE * r_e</t>
  </si>
  <si>
    <t xml:space="preserve">g_m (S) = 1 / r_e</t>
  </si>
  <si>
    <r>
      <rPr>
        <b/>
        <sz val="12"/>
        <color theme="1"/>
        <rFont val="Calibri"/>
        <scheme val="minor"/>
      </rPr>
      <t xml:space="preserve">INPUT IMPEDANCES</t>
    </r>
    <r>
      <rPr>
        <sz val="11"/>
        <color theme="1"/>
        <rFont val="Calibri"/>
        <scheme val="minor"/>
      </rPr>
      <t xml:space="preserve"> </t>
    </r>
  </si>
  <si>
    <t xml:space="preserve">Zin (base) = r_pi + (HFE+1)*RE</t>
  </si>
  <si>
    <t xml:space="preserve">R1||R2 (ohm)</t>
  </si>
  <si>
    <t xml:space="preserve">Zin seen by source = (R1||R2) || Zin(base)</t>
  </si>
  <si>
    <t xml:space="preserve">VOLTAGE GAIN</t>
  </si>
  <si>
    <t xml:space="preserve">Av (approx) = - (g_m * RC) / (1 + g_m * RE)</t>
  </si>
  <si>
    <t xml:space="preserve">Av| (magnitude)</t>
  </si>
  <si>
    <t>X</t>
  </si>
  <si>
    <t xml:space="preserve">Av (dB)</t>
  </si>
  <si>
    <t>dB</t>
  </si>
  <si>
    <t xml:space="preserve">POWER DISSIPATION</t>
  </si>
  <si>
    <t xml:space="preserve">Power_RC (W)</t>
  </si>
  <si>
    <t>W</t>
  </si>
  <si>
    <t>mW</t>
  </si>
  <si>
    <t xml:space="preserve">Power_RE (W)</t>
  </si>
  <si>
    <t xml:space="preserve">Power_R2 (W)</t>
  </si>
  <si>
    <t xml:space="preserve">Power_R1 (W)</t>
  </si>
  <si>
    <t xml:space="preserve">R1 (ohms) = (VCC - Vb) / ( Ib)</t>
  </si>
  <si>
    <t>2N5551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</si>
</sst>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  <font>
      <sz val="12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/>
    <xf fontId="0" fillId="0" borderId="0" numFmtId="2" xfId="0" applyNumberFormat="1" applyAlignment="1">
      <alignment horizontal="right"/>
    </xf>
    <xf fontId="0" fillId="0" borderId="0" numFmtId="0" xfId="0" applyAlignment="1">
      <alignment horizontal="right"/>
    </xf>
    <xf fontId="1" fillId="0" borderId="0" numFmtId="0" xfId="0" applyFont="1"/>
    <xf fontId="0" fillId="0" borderId="0" numFmtId="0" xfId="0">
      <protection hidden="0" locked="1"/>
    </xf>
    <xf fontId="0" fillId="0" borderId="0" numFmtId="0" xfId="0" applyAlignment="1">
      <alignment horizontal="left"/>
    </xf>
    <xf fontId="2" fillId="0" borderId="0" numFmtId="0" xfId="0" applyFont="1" applyAlignment="1">
      <alignment horizontal="left"/>
    </xf>
    <xf fontId="3" fillId="0" borderId="0" numFmtId="0" xfId="0" applyFont="1"/>
    <xf fontId="3" fillId="0" borderId="0" numFmtId="0" xfId="0" applyFont="1" applyAlignment="1">
      <alignment horizontal="right"/>
    </xf>
    <xf fontId="1" fillId="0" borderId="0" numFmtId="0" xfId="0" applyFont="1">
      <protection hidden="0" locked="1"/>
    </xf>
    <xf fontId="4" fillId="0" borderId="0" numFmtId="0" xfId="0" applyFont="1"/>
    <xf fontId="4" fillId="0" borderId="0" numFmtId="0" xfId="0" applyFont="1" applyAlignment="1">
      <alignment horizontal="right"/>
    </xf>
    <xf fontId="4" fillId="0" borderId="0" numFmtId="0" xfId="0" applyFont="1" applyAlignment="1">
      <alignment horizontal="left"/>
    </xf>
    <xf fontId="5" fillId="0" borderId="0" numFmtId="0" xfId="0" applyFont="1"/>
    <xf fontId="5" fillId="0" borderId="0" numFmtId="0" xfId="0" applyFont="1" applyAlignment="1">
      <alignment horizontal="center"/>
    </xf>
    <xf fontId="0" fillId="0" borderId="0" numFmtId="0" xfId="0"/>
    <xf fontId="0" fillId="0" borderId="0" numFmtId="0" xfId="0" quotePrefix="1">
      <protection hidden="0" locked="1"/>
    </xf>
    <xf fontId="0" fillId="0" borderId="0" numFmtId="2" xfId="0" applyNumberFormat="1"/>
    <xf fontId="0" fillId="0" borderId="0" numFmtId="2" xfId="0" applyNumberFormat="1">
      <protection hidden="0" locked="1"/>
    </xf>
    <xf fontId="0" fillId="0" borderId="0" numFmtId="0" xfId="0" applyAlignment="1">
      <alignment horizontal="left"/>
    </xf>
    <xf fontId="5" fillId="0" borderId="0" numFmtId="0" xfId="0" applyFont="1" applyAlignment="1">
      <alignment horizontal="right"/>
    </xf>
    <xf fontId="5" fillId="0" borderId="0" numFmtId="0" xfId="0" applyFont="1" applyAlignment="1">
      <alignment horizontal="left"/>
    </xf>
    <xf fontId="5" fillId="0" borderId="0" numFmtId="0" xfId="0" applyFont="1">
      <protection hidden="0" locked="1"/>
    </xf>
    <xf fontId="5" fillId="0" borderId="0" numFmtId="2" xfId="0" applyNumberFormat="1" applyFont="1"/>
    <xf fontId="0" fillId="0" borderId="0" numFmtId="0" xfId="0">
      <protection hidden="0" locked="1"/>
    </xf>
    <xf fontId="1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2</xdr:row>
      <xdr:rowOff>225489</xdr:rowOff>
    </xdr:from>
    <xdr:ext cx="3139361" cy="3350106"/>
    <xdr:pic>
      <xdr:nvPicPr>
        <xdr:cNvPr id="1811134632" name=""/>
        <xdr:cNvPicPr>
          <a:picLocks noChangeAspect="1"/>
        </xdr:cNvPicPr>
      </xdr:nvPicPr>
      <xdr:blipFill>
        <a:blip r:embed="rId1"/>
        <a:stretch/>
      </xdr:blipFill>
      <xdr:spPr bwMode="auto">
        <a:xfrm flipH="0" flipV="0">
          <a:off x="0" y="676469"/>
          <a:ext cx="3139362" cy="335010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143846</xdr:colOff>
      <xdr:row>3</xdr:row>
      <xdr:rowOff>50540</xdr:rowOff>
    </xdr:from>
    <xdr:ext cx="3098532" cy="3306535"/>
    <xdr:pic>
      <xdr:nvPicPr>
        <xdr:cNvPr id="1496280924" name=""/>
        <xdr:cNvPicPr>
          <a:picLocks noChangeAspect="1"/>
        </xdr:cNvPicPr>
      </xdr:nvPicPr>
      <xdr:blipFill>
        <a:blip r:embed="rId1"/>
        <a:stretch/>
      </xdr:blipFill>
      <xdr:spPr bwMode="auto">
        <a:xfrm flipH="0" flipV="0">
          <a:off x="143846" y="765887"/>
          <a:ext cx="3098532" cy="33065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108856</xdr:colOff>
      <xdr:row>3</xdr:row>
      <xdr:rowOff>64147</xdr:rowOff>
    </xdr:from>
    <xdr:ext cx="3085781" cy="3292928"/>
    <xdr:pic>
      <xdr:nvPicPr>
        <xdr:cNvPr id="1512776572" name=""/>
        <xdr:cNvPicPr>
          <a:picLocks noChangeAspect="1"/>
        </xdr:cNvPicPr>
      </xdr:nvPicPr>
      <xdr:blipFill>
        <a:blip r:embed="rId1"/>
        <a:stretch/>
      </xdr:blipFill>
      <xdr:spPr bwMode="auto">
        <a:xfrm flipH="0" flipV="0">
          <a:off x="108856" y="779494"/>
          <a:ext cx="3085781" cy="3292928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8" zoomScale="100" workbookViewId="0">
      <selection activeCell="A1" activeCellId="0" sqref="A1"/>
    </sheetView>
  </sheetViews>
  <sheetFormatPr defaultRowHeight="14.25"/>
  <cols>
    <col customWidth="1" min="1" max="1" width="14.00390625"/>
    <col bestFit="1" customWidth="1" min="2" max="2" width="37.36328125"/>
    <col bestFit="1" min="3" max="3" style="1" width="12.47265625"/>
    <col bestFit="1" min="4" max="4" width="4.47265625"/>
    <col customWidth="1" min="5" max="5" width="26.421875"/>
    <col min="6" max="6" style="2" width="9.140625"/>
    <col bestFit="1" min="11" max="11" width="11.40234375"/>
  </cols>
  <sheetData>
    <row r="1" ht="18.75">
      <c r="A1" s="3" t="s">
        <v>0</v>
      </c>
      <c r="B1" s="4"/>
      <c r="C1" s="2"/>
      <c r="D1" s="5"/>
      <c r="E1" s="4"/>
      <c r="F1" s="4"/>
      <c r="G1" s="4"/>
      <c r="H1" s="4"/>
      <c r="I1" s="4"/>
      <c r="J1" s="4"/>
      <c r="K1" s="4"/>
      <c r="L1" s="4"/>
      <c r="M1" s="4"/>
    </row>
    <row r="2" ht="18.75">
      <c r="A2" s="3"/>
      <c r="B2" s="4"/>
      <c r="C2" s="2"/>
      <c r="D2" s="5"/>
      <c r="E2" s="4"/>
      <c r="F2" s="4"/>
      <c r="G2" s="4"/>
      <c r="H2" s="4"/>
      <c r="I2" s="4"/>
      <c r="J2" s="4"/>
      <c r="K2" s="4"/>
      <c r="L2" s="4"/>
      <c r="M2" s="4"/>
    </row>
    <row r="3" ht="18" customHeight="1">
      <c r="A3" s="6" t="s">
        <v>1</v>
      </c>
      <c r="B3" s="6" t="s">
        <v>2</v>
      </c>
      <c r="C3" s="2"/>
      <c r="D3" s="5"/>
      <c r="E3" s="4"/>
      <c r="F3" s="4"/>
      <c r="G3" s="4"/>
      <c r="H3" s="4"/>
      <c r="I3" s="4"/>
      <c r="J3" s="4"/>
      <c r="K3" s="4"/>
      <c r="L3" s="4"/>
      <c r="M3" s="4"/>
    </row>
    <row r="4" ht="16.5">
      <c r="A4" s="4"/>
      <c r="B4" s="7"/>
      <c r="C4" s="8"/>
      <c r="D4" s="5"/>
      <c r="E4" s="4"/>
      <c r="F4" s="4"/>
      <c r="G4" s="4"/>
      <c r="H4" s="4"/>
      <c r="I4" s="4"/>
      <c r="J4" s="4"/>
      <c r="K4" s="4"/>
      <c r="L4" s="4"/>
      <c r="M4" s="4"/>
    </row>
    <row r="5" ht="16.5">
      <c r="A5" s="4"/>
      <c r="B5" s="7"/>
      <c r="C5" s="8"/>
      <c r="D5" s="5"/>
      <c r="E5" s="4"/>
      <c r="F5" s="4"/>
      <c r="G5" s="4"/>
      <c r="H5" s="4"/>
      <c r="I5" s="4"/>
      <c r="J5" s="4"/>
      <c r="K5" s="4"/>
      <c r="L5" s="4"/>
      <c r="M5" s="4"/>
    </row>
    <row r="6" ht="16.5">
      <c r="A6" s="4"/>
      <c r="B6" s="7"/>
      <c r="C6" s="8"/>
      <c r="D6" s="5"/>
      <c r="E6" s="4"/>
      <c r="F6" s="4"/>
      <c r="G6" s="4"/>
      <c r="H6" s="4"/>
      <c r="I6" s="4"/>
      <c r="J6" s="4"/>
      <c r="K6" s="4"/>
      <c r="L6" s="4"/>
      <c r="M6" s="4"/>
    </row>
    <row r="7" ht="16.5">
      <c r="A7" s="4"/>
      <c r="B7" s="7"/>
      <c r="C7" s="8"/>
      <c r="D7" s="5"/>
      <c r="E7" s="4"/>
      <c r="F7" s="4"/>
      <c r="G7" s="4"/>
      <c r="H7" s="4"/>
      <c r="I7" s="4"/>
      <c r="J7" s="4"/>
      <c r="K7" s="4"/>
      <c r="L7" s="4"/>
      <c r="M7" s="4"/>
    </row>
    <row r="8" ht="16.5">
      <c r="A8" s="4"/>
      <c r="B8" s="7"/>
      <c r="C8" s="8"/>
      <c r="D8" s="5"/>
      <c r="E8" s="4"/>
      <c r="F8" s="4"/>
      <c r="G8" s="4"/>
      <c r="H8" s="4"/>
      <c r="I8" s="4"/>
      <c r="J8" s="4"/>
      <c r="K8" s="4"/>
      <c r="L8" s="4"/>
      <c r="M8" s="4"/>
    </row>
    <row r="9" ht="16.5">
      <c r="A9" s="4"/>
      <c r="B9" s="7"/>
      <c r="C9" s="8"/>
      <c r="D9" s="5"/>
      <c r="E9" s="4"/>
      <c r="F9" s="4"/>
      <c r="G9" s="4"/>
      <c r="H9" s="4"/>
      <c r="I9" s="4"/>
      <c r="J9" s="4"/>
      <c r="K9" s="4"/>
      <c r="L9" s="4"/>
      <c r="M9" s="4"/>
    </row>
    <row r="10" ht="16.5">
      <c r="A10" s="4"/>
      <c r="B10" s="7"/>
      <c r="C10" s="8"/>
      <c r="D10" s="5"/>
      <c r="E10" s="4"/>
      <c r="F10" s="4"/>
      <c r="G10" s="4"/>
      <c r="H10" s="4"/>
      <c r="I10" s="4"/>
      <c r="J10" s="4"/>
      <c r="K10" s="4"/>
      <c r="L10" s="4"/>
      <c r="M10" s="4"/>
    </row>
    <row r="11" ht="16.5">
      <c r="A11" s="4"/>
      <c r="B11" s="7"/>
      <c r="C11" s="8"/>
      <c r="D11" s="5"/>
      <c r="E11" s="4"/>
      <c r="F11" s="4"/>
      <c r="G11" s="4"/>
      <c r="H11" s="4"/>
      <c r="I11" s="4"/>
      <c r="J11" s="4"/>
      <c r="K11" s="4"/>
      <c r="L11" s="4"/>
      <c r="M11" s="4"/>
    </row>
    <row r="12" ht="16.5">
      <c r="A12" s="4"/>
      <c r="B12" s="7"/>
      <c r="C12" s="8"/>
      <c r="D12" s="5"/>
      <c r="E12" s="4"/>
      <c r="F12" s="4"/>
      <c r="G12" s="4"/>
      <c r="H12" s="4"/>
      <c r="I12" s="4"/>
      <c r="J12" s="4"/>
      <c r="K12" s="4"/>
      <c r="L12" s="4"/>
      <c r="M12" s="4"/>
    </row>
    <row r="13" ht="18.75">
      <c r="A13" s="4"/>
      <c r="B13" s="7"/>
      <c r="C13" s="8"/>
      <c r="D13" s="5"/>
      <c r="E13" s="4"/>
      <c r="F13" s="4"/>
      <c r="G13" s="4"/>
      <c r="H13" s="9"/>
      <c r="I13" s="4"/>
      <c r="J13" s="4"/>
      <c r="K13" s="4"/>
      <c r="L13" s="4"/>
      <c r="M13" s="4"/>
    </row>
    <row r="14" ht="16.5">
      <c r="A14" s="4"/>
      <c r="B14" s="7"/>
      <c r="C14" s="8"/>
      <c r="D14" s="5"/>
      <c r="E14" s="4"/>
      <c r="F14" s="4"/>
      <c r="G14" s="4"/>
      <c r="H14" s="4"/>
      <c r="I14" s="4"/>
      <c r="J14" s="4"/>
      <c r="K14" s="4"/>
      <c r="L14" s="4"/>
      <c r="M14" s="4"/>
    </row>
    <row r="15" ht="16.5">
      <c r="A15" s="4"/>
      <c r="B15" s="7"/>
      <c r="C15" s="8"/>
      <c r="D15" s="5"/>
      <c r="E15" s="4"/>
      <c r="F15" s="4"/>
      <c r="G15" s="4"/>
      <c r="H15" s="4"/>
      <c r="I15" s="4"/>
      <c r="J15" s="4"/>
      <c r="K15" s="4"/>
      <c r="L15" s="4"/>
      <c r="M15" s="4"/>
    </row>
    <row r="16" ht="16.5">
      <c r="A16" s="4"/>
      <c r="B16" s="7"/>
      <c r="C16" s="8"/>
      <c r="D16" s="5"/>
      <c r="E16" s="4"/>
      <c r="F16" s="4"/>
      <c r="G16" s="4"/>
      <c r="H16" s="4"/>
      <c r="I16" s="4"/>
      <c r="J16" s="4"/>
      <c r="K16" s="4"/>
      <c r="L16" s="4"/>
      <c r="M16" s="4"/>
    </row>
    <row r="17" ht="16.5">
      <c r="A17" s="4"/>
      <c r="B17" s="7"/>
      <c r="C17" s="8"/>
      <c r="D17" s="5"/>
      <c r="E17" s="4"/>
      <c r="F17" s="4"/>
      <c r="G17" s="4"/>
      <c r="H17" s="4"/>
      <c r="I17" s="4"/>
      <c r="J17" s="4"/>
      <c r="K17" s="4"/>
      <c r="L17" s="4"/>
      <c r="M17" s="4"/>
    </row>
    <row r="18" ht="16.5">
      <c r="A18" s="4"/>
      <c r="B18" s="7"/>
      <c r="C18" s="8"/>
      <c r="D18" s="5"/>
      <c r="E18" s="4"/>
      <c r="F18" s="4"/>
      <c r="G18" s="4"/>
      <c r="H18" s="4"/>
      <c r="I18" s="4"/>
      <c r="J18" s="4"/>
      <c r="K18" s="4"/>
      <c r="L18" s="4"/>
      <c r="M18" s="4"/>
    </row>
    <row r="19" ht="16.5">
      <c r="A19" s="4"/>
      <c r="B19" s="7"/>
      <c r="C19" s="8"/>
      <c r="D19" s="5"/>
      <c r="E19" s="4"/>
      <c r="F19" s="4"/>
      <c r="G19" s="4"/>
      <c r="H19" s="4"/>
      <c r="I19" s="4"/>
      <c r="J19" s="4"/>
      <c r="K19" s="4"/>
      <c r="L19" s="4"/>
      <c r="M19" s="4"/>
    </row>
    <row r="20" ht="16.5">
      <c r="A20" s="4"/>
      <c r="B20" s="7"/>
      <c r="C20" s="8"/>
      <c r="D20" s="5"/>
      <c r="E20" s="4"/>
      <c r="F20" s="4"/>
      <c r="G20" s="4"/>
      <c r="H20" s="4"/>
      <c r="I20" s="4"/>
      <c r="J20" s="4"/>
      <c r="K20" s="4"/>
      <c r="L20" s="4"/>
      <c r="M20" s="4"/>
    </row>
    <row r="21" ht="16.5">
      <c r="A21" s="4"/>
      <c r="B21" s="7"/>
      <c r="C21" s="8"/>
      <c r="D21" s="5"/>
      <c r="E21" s="4"/>
      <c r="F21" s="4"/>
      <c r="G21" s="4"/>
      <c r="H21" s="4"/>
      <c r="I21" s="4"/>
      <c r="J21" s="4"/>
      <c r="K21" s="4"/>
      <c r="L21" s="4"/>
      <c r="M21" s="4"/>
    </row>
    <row r="22" ht="16.5">
      <c r="A22" s="7" t="s">
        <v>3</v>
      </c>
      <c r="B22" s="10"/>
      <c r="C22" s="11"/>
      <c r="D22" s="12"/>
      <c r="E22" s="10"/>
      <c r="F22" s="10"/>
      <c r="G22" s="10"/>
      <c r="H22" s="10"/>
      <c r="I22" s="10"/>
      <c r="J22" s="10"/>
      <c r="K22" s="10"/>
      <c r="L22" s="10"/>
      <c r="M22" s="10"/>
    </row>
    <row r="23" ht="14.25">
      <c r="A23" s="13"/>
      <c r="B23" s="13" t="s">
        <v>4</v>
      </c>
      <c r="C23" s="14" t="s">
        <v>5</v>
      </c>
      <c r="D23" s="14" t="s">
        <v>6</v>
      </c>
      <c r="E23" s="13" t="s">
        <v>7</v>
      </c>
      <c r="F23" s="13"/>
      <c r="G23" s="13"/>
      <c r="H23" s="13"/>
      <c r="I23" s="13"/>
      <c r="J23" s="13"/>
      <c r="K23" s="13"/>
      <c r="L23" s="13"/>
      <c r="M23" s="13"/>
    </row>
    <row r="24" ht="14.25">
      <c r="A24" s="4"/>
      <c r="B24" s="4" t="s">
        <v>8</v>
      </c>
      <c r="C24" s="2">
        <v>12</v>
      </c>
      <c r="D24" s="5" t="s">
        <v>9</v>
      </c>
      <c r="E24" s="4" t="s">
        <v>10</v>
      </c>
      <c r="F24" s="4"/>
      <c r="G24" s="4"/>
      <c r="H24" s="4"/>
      <c r="I24" s="4"/>
      <c r="J24" s="4"/>
      <c r="K24" s="4"/>
      <c r="L24" s="4"/>
      <c r="M24" s="4"/>
    </row>
    <row r="25" ht="14.25">
      <c r="A25" s="4"/>
      <c r="B25" t="s">
        <v>11</v>
      </c>
      <c r="C25" s="2">
        <v>238</v>
      </c>
      <c r="D25" s="5" t="s">
        <v>12</v>
      </c>
      <c r="E25" s="4" t="s">
        <v>13</v>
      </c>
      <c r="F25" s="4"/>
      <c r="G25" s="2">
        <v>238</v>
      </c>
      <c r="H25" s="4" t="s">
        <v>12</v>
      </c>
      <c r="I25" s="4" t="s">
        <v>14</v>
      </c>
      <c r="J25" s="4"/>
      <c r="K25" s="4"/>
      <c r="L25" s="4"/>
      <c r="M25" s="4"/>
    </row>
    <row r="26" ht="14.25">
      <c r="A26" s="4"/>
      <c r="B26" s="15" t="s">
        <v>15</v>
      </c>
      <c r="C26" s="2">
        <v>659</v>
      </c>
      <c r="D26" s="5" t="s">
        <v>16</v>
      </c>
      <c r="E26" s="4" t="s">
        <v>17</v>
      </c>
      <c r="F26" s="4"/>
      <c r="G26" s="4">
        <v>659</v>
      </c>
      <c r="H26" s="5" t="s">
        <v>16</v>
      </c>
      <c r="I26" s="15" t="s">
        <v>14</v>
      </c>
      <c r="J26" s="4"/>
      <c r="K26" s="4"/>
      <c r="L26" s="4"/>
      <c r="M26" s="4"/>
    </row>
    <row r="27" ht="14.25">
      <c r="A27" s="4"/>
      <c r="B27" t="s">
        <v>18</v>
      </c>
      <c r="C27" s="2">
        <v>61</v>
      </c>
      <c r="D27" s="5" t="s">
        <v>16</v>
      </c>
      <c r="E27" t="s">
        <v>19</v>
      </c>
      <c r="F27" s="4"/>
      <c r="G27" s="4">
        <v>61</v>
      </c>
      <c r="H27" s="5" t="s">
        <v>16</v>
      </c>
      <c r="I27" s="4" t="s">
        <v>14</v>
      </c>
      <c r="J27" s="4"/>
      <c r="K27" s="4"/>
      <c r="L27" s="4"/>
      <c r="M27" s="4"/>
    </row>
    <row r="28" ht="14.25">
      <c r="A28" s="4"/>
      <c r="B28" s="4" t="s">
        <v>20</v>
      </c>
      <c r="C28" s="2">
        <v>0.58999999999999997</v>
      </c>
      <c r="D28" s="5" t="s">
        <v>9</v>
      </c>
      <c r="E28" s="4"/>
      <c r="F28" s="4"/>
      <c r="G28" s="4">
        <v>0.58999999999999997</v>
      </c>
      <c r="H28" s="15" t="s">
        <v>9</v>
      </c>
      <c r="I28" s="4" t="s">
        <v>14</v>
      </c>
      <c r="J28" s="4"/>
      <c r="K28" s="4"/>
      <c r="L28" s="4"/>
      <c r="M28" s="4"/>
    </row>
    <row r="29" ht="14.25">
      <c r="A29" s="4"/>
      <c r="B29" s="4" t="s">
        <v>21</v>
      </c>
      <c r="C29" s="2">
        <v>0.69999999999999996</v>
      </c>
      <c r="D29" s="5" t="s">
        <v>9</v>
      </c>
      <c r="E29" s="4" t="s">
        <v>17</v>
      </c>
      <c r="F29" s="4"/>
      <c r="G29" s="4">
        <v>0.68999999999999995</v>
      </c>
      <c r="H29" s="15" t="s">
        <v>9</v>
      </c>
      <c r="I29" s="4" t="s">
        <v>14</v>
      </c>
      <c r="J29" s="4"/>
      <c r="K29" s="4"/>
      <c r="L29" s="4"/>
      <c r="M29" s="4"/>
    </row>
    <row r="30" ht="14.25">
      <c r="A30" s="4"/>
      <c r="B30" s="15" t="s">
        <v>22</v>
      </c>
      <c r="C30" s="2">
        <v>656</v>
      </c>
      <c r="D30" s="5" t="s">
        <v>16</v>
      </c>
      <c r="E30" s="4"/>
      <c r="F30" s="4"/>
      <c r="G30" s="4">
        <v>656</v>
      </c>
      <c r="H30" s="5" t="s">
        <v>16</v>
      </c>
      <c r="I30" s="4" t="s">
        <v>14</v>
      </c>
      <c r="J30" s="4"/>
      <c r="K30" s="4"/>
      <c r="L30" s="4"/>
      <c r="M30" s="4"/>
    </row>
    <row r="31" ht="14.25">
      <c r="A31" s="4"/>
      <c r="B31" s="4"/>
      <c r="C31" s="2"/>
      <c r="D31" s="5"/>
      <c r="E31" s="4"/>
      <c r="F31" s="16"/>
      <c r="G31" s="4"/>
      <c r="H31" s="4"/>
      <c r="I31" s="4"/>
      <c r="J31" s="4"/>
      <c r="K31" s="4"/>
      <c r="L31" s="4"/>
      <c r="M31" s="4"/>
    </row>
    <row r="32" ht="14.25">
      <c r="A32" s="4"/>
      <c r="B32" s="4"/>
      <c r="C32" s="2"/>
      <c r="D32" s="5"/>
      <c r="E32" s="4"/>
      <c r="F32" s="16"/>
      <c r="G32" s="4"/>
      <c r="H32" s="4"/>
      <c r="I32" s="4"/>
      <c r="J32" s="4"/>
      <c r="K32" s="4"/>
      <c r="L32" s="4"/>
      <c r="M32" s="4"/>
    </row>
    <row r="33" ht="16.5">
      <c r="A33" s="7" t="s">
        <v>23</v>
      </c>
      <c r="B33" s="4"/>
      <c r="C33" s="2"/>
      <c r="D33" s="5"/>
      <c r="E33" s="4"/>
      <c r="F33" s="4"/>
      <c r="G33" s="4"/>
      <c r="H33" s="4"/>
      <c r="I33" s="4"/>
      <c r="J33" s="4"/>
      <c r="K33" s="4"/>
      <c r="L33" s="4"/>
      <c r="M33" s="4"/>
    </row>
    <row r="34" ht="14.25">
      <c r="A34" s="4"/>
      <c r="B34" s="4" t="s">
        <v>24</v>
      </c>
      <c r="C34" s="2">
        <f>C28/C27</f>
        <v>0.0096721311475409834</v>
      </c>
      <c r="D34" s="5" t="s">
        <v>25</v>
      </c>
      <c r="E34" s="17">
        <f>C34*1000</f>
        <v>9.6721311475409841</v>
      </c>
      <c r="F34" s="4" t="s">
        <v>26</v>
      </c>
      <c r="G34" s="4"/>
      <c r="H34" s="4"/>
      <c r="I34" s="4"/>
      <c r="J34" s="4"/>
      <c r="K34" s="4"/>
      <c r="L34" s="4"/>
      <c r="M34" s="4"/>
    </row>
    <row r="35" ht="14.25">
      <c r="A35" s="4"/>
      <c r="B35" s="4" t="s">
        <v>27</v>
      </c>
      <c r="C35" s="2">
        <f>C34/(C25+1)</f>
        <v>4.046916798134303e-05</v>
      </c>
      <c r="D35" s="5" t="s">
        <v>25</v>
      </c>
      <c r="E35" s="17">
        <f>C35*1000000</f>
        <v>40.469167981343027</v>
      </c>
      <c r="F35" s="4" t="s">
        <v>28</v>
      </c>
      <c r="G35" s="4"/>
      <c r="H35" s="4"/>
      <c r="I35" s="4"/>
      <c r="J35" s="4"/>
      <c r="K35" s="4"/>
      <c r="L35" s="4"/>
      <c r="M35" s="4"/>
    </row>
    <row r="36" ht="18.75">
      <c r="A36" s="4"/>
      <c r="B36" s="4" t="s">
        <v>29</v>
      </c>
      <c r="C36" s="2">
        <f>C25*C35</f>
        <v>0.0096316619795596414</v>
      </c>
      <c r="D36" s="5" t="s">
        <v>25</v>
      </c>
      <c r="E36" s="18">
        <f>C36*1000</f>
        <v>9.6316619795596417</v>
      </c>
      <c r="F36" s="4" t="s">
        <v>26</v>
      </c>
      <c r="G36" s="4"/>
      <c r="H36" s="4"/>
      <c r="I36" s="4"/>
      <c r="J36" s="4"/>
      <c r="K36" s="4"/>
      <c r="L36" s="4"/>
      <c r="M36" s="4"/>
    </row>
    <row r="37" ht="18.75">
      <c r="A37" s="4"/>
      <c r="B37" t="s">
        <v>30</v>
      </c>
      <c r="C37" s="2">
        <f>C28+C29</f>
        <v>1.29</v>
      </c>
      <c r="D37" s="5" t="s">
        <v>9</v>
      </c>
      <c r="E37" s="17"/>
      <c r="F37" s="4"/>
      <c r="G37" s="4">
        <v>1.29</v>
      </c>
      <c r="H37" t="s">
        <v>9</v>
      </c>
      <c r="I37" s="4" t="s">
        <v>14</v>
      </c>
      <c r="J37" s="4"/>
      <c r="K37" s="4"/>
      <c r="L37" s="4"/>
      <c r="M37" s="4"/>
    </row>
    <row r="38" ht="14.25">
      <c r="A38" s="4"/>
      <c r="B38" s="4" t="s">
        <v>31</v>
      </c>
      <c r="C38" s="2">
        <f>(C24-C37)/((C37/C30)+C35)</f>
        <v>5336.5021290562918</v>
      </c>
      <c r="D38" s="5" t="s">
        <v>16</v>
      </c>
      <c r="E38" s="17">
        <f>C38/1000</f>
        <v>5.3365021290562922</v>
      </c>
      <c r="F38" s="5" t="s">
        <v>32</v>
      </c>
      <c r="G38" s="4">
        <f>4700+680</f>
        <v>5380</v>
      </c>
      <c r="H38" s="4" t="s">
        <v>33</v>
      </c>
      <c r="I38" s="4" t="s">
        <v>14</v>
      </c>
      <c r="J38" s="4"/>
      <c r="K38" s="4"/>
      <c r="L38" s="4"/>
      <c r="M38" s="4"/>
    </row>
    <row r="39" ht="14.25">
      <c r="A39" s="4"/>
      <c r="B39" s="4" t="s">
        <v>34</v>
      </c>
      <c r="C39" s="2">
        <f>((C24-C28)/2)+C37</f>
        <v>6.9950000000000001</v>
      </c>
      <c r="D39" s="5" t="s">
        <v>9</v>
      </c>
      <c r="E39" s="4"/>
      <c r="F39" s="4"/>
      <c r="G39" s="4">
        <v>6.1600000000000001</v>
      </c>
      <c r="H39" t="s">
        <v>9</v>
      </c>
      <c r="I39" s="4" t="s">
        <v>14</v>
      </c>
      <c r="J39" s="4"/>
      <c r="K39" s="4"/>
      <c r="L39" s="4"/>
      <c r="M39" s="4"/>
    </row>
    <row r="40" ht="14.25">
      <c r="A40" s="4"/>
      <c r="B40" s="4" t="s">
        <v>35</v>
      </c>
      <c r="C40" s="2">
        <f>C39-C28</f>
        <v>6.4050000000000002</v>
      </c>
      <c r="D40" s="5" t="s">
        <v>9</v>
      </c>
      <c r="E40" s="4"/>
      <c r="F40" s="4"/>
      <c r="G40" s="4">
        <v>5.5599999999999996</v>
      </c>
      <c r="H40" t="s">
        <v>9</v>
      </c>
      <c r="I40" s="4" t="s">
        <v>14</v>
      </c>
      <c r="J40" s="4"/>
      <c r="K40" s="4"/>
      <c r="L40" s="4"/>
      <c r="M40" s="4"/>
    </row>
    <row r="41" ht="16.5">
      <c r="A41" s="4"/>
      <c r="B41" s="4"/>
      <c r="C41" s="2"/>
      <c r="D41" s="5"/>
      <c r="E41" s="4"/>
      <c r="F41" s="4"/>
      <c r="G41" s="4"/>
      <c r="H41" s="4"/>
      <c r="I41" s="4"/>
      <c r="J41" s="4"/>
      <c r="K41" s="4"/>
      <c r="L41" s="4"/>
      <c r="M41" s="4"/>
    </row>
    <row r="42" ht="16.5">
      <c r="A42" s="7" t="s">
        <v>36</v>
      </c>
      <c r="B42" s="4"/>
      <c r="C42" s="2"/>
      <c r="D42" s="5"/>
      <c r="E42" s="4"/>
      <c r="F42" s="4"/>
      <c r="G42" s="4"/>
      <c r="H42" s="4"/>
      <c r="I42" s="4"/>
      <c r="J42" s="4"/>
      <c r="K42" s="4"/>
      <c r="L42" s="4"/>
      <c r="M42" s="4"/>
    </row>
    <row r="43" ht="16.5">
      <c r="A43" s="4"/>
      <c r="B43" s="4" t="s">
        <v>37</v>
      </c>
      <c r="C43" s="2">
        <f>0.026/C34</f>
        <v>2.688135593220339</v>
      </c>
      <c r="D43" s="5"/>
      <c r="E43" s="4"/>
      <c r="F43" s="4"/>
      <c r="G43" s="4"/>
      <c r="H43" s="4"/>
      <c r="I43" s="4"/>
      <c r="J43" s="4"/>
      <c r="K43" s="4"/>
      <c r="L43" s="4"/>
      <c r="M43" s="4"/>
    </row>
    <row r="44" ht="16.5">
      <c r="A44" s="4"/>
      <c r="B44" s="15" t="s">
        <v>38</v>
      </c>
      <c r="C44" s="2">
        <f>C25*C43</f>
        <v>639.77627118644068</v>
      </c>
      <c r="D44" s="5"/>
      <c r="E44" s="4"/>
      <c r="F44" s="4"/>
      <c r="G44" s="4"/>
      <c r="H44" s="4"/>
      <c r="I44" s="4"/>
      <c r="J44" s="4"/>
      <c r="K44" s="4"/>
      <c r="L44" s="4"/>
      <c r="M44" s="4"/>
    </row>
    <row r="45" ht="14.25">
      <c r="A45" s="4"/>
      <c r="B45" s="4" t="s">
        <v>39</v>
      </c>
      <c r="C45" s="2">
        <f>1/C43</f>
        <v>0.37200504413619168</v>
      </c>
      <c r="D45" s="5"/>
      <c r="E45" s="4"/>
      <c r="F45" s="4"/>
      <c r="G45" s="4"/>
      <c r="H45" s="4"/>
      <c r="I45" s="4"/>
      <c r="J45" s="4"/>
      <c r="K45" s="4"/>
      <c r="L45" s="4"/>
      <c r="M45" s="4"/>
    </row>
    <row r="46" ht="14.25">
      <c r="A46" s="4"/>
      <c r="B46" s="4"/>
      <c r="C46" s="2"/>
      <c r="D46" s="5"/>
      <c r="E46" s="4"/>
      <c r="F46" s="4"/>
      <c r="G46" s="4"/>
      <c r="H46" s="4"/>
      <c r="I46" s="4"/>
      <c r="J46" s="4"/>
      <c r="K46" s="4"/>
      <c r="L46" s="4"/>
      <c r="M46" s="4"/>
    </row>
    <row r="47" ht="16.5">
      <c r="A47" t="s">
        <v>40</v>
      </c>
      <c r="B47" s="4"/>
      <c r="C47" s="2"/>
      <c r="D47" s="5"/>
      <c r="E47" s="4"/>
      <c r="F47" s="4"/>
      <c r="G47" s="4"/>
      <c r="H47" s="4"/>
      <c r="I47" s="4"/>
      <c r="J47" s="4"/>
      <c r="K47" s="4"/>
      <c r="L47" s="4"/>
      <c r="M47" s="4"/>
    </row>
    <row r="48" ht="14.25">
      <c r="A48" s="4"/>
      <c r="B48" s="4" t="s">
        <v>41</v>
      </c>
      <c r="C48" s="2">
        <f>C44+(C25+1)*C27</f>
        <v>15218.776271186442</v>
      </c>
      <c r="D48" s="5"/>
      <c r="E48" s="4"/>
      <c r="F48" s="4"/>
      <c r="G48" s="4"/>
      <c r="H48" s="4"/>
      <c r="I48" s="4"/>
      <c r="J48" s="4"/>
      <c r="K48" s="4"/>
      <c r="L48" s="4"/>
      <c r="M48" s="4"/>
    </row>
    <row r="49" ht="14.25">
      <c r="A49" s="4"/>
      <c r="B49" s="4" t="s">
        <v>42</v>
      </c>
      <c r="C49" s="2">
        <f>1/(1/C38+1/C30)</f>
        <v>584.18759330707655</v>
      </c>
      <c r="D49" s="5"/>
      <c r="E49" s="4"/>
      <c r="F49" s="4"/>
      <c r="G49" s="4"/>
      <c r="H49" s="4"/>
      <c r="I49" s="4"/>
      <c r="J49" s="4"/>
      <c r="K49" s="4"/>
      <c r="L49" s="4"/>
      <c r="M49" s="4"/>
    </row>
    <row r="50" ht="14.25">
      <c r="A50" s="4"/>
      <c r="B50" s="4" t="s">
        <v>43</v>
      </c>
      <c r="C50" s="2">
        <f>1/(1/C49+1/C48)</f>
        <v>562.5919516856527</v>
      </c>
      <c r="D50" s="5"/>
      <c r="E50" s="18">
        <f>C50</f>
        <v>562.5919516856527</v>
      </c>
      <c r="F50" s="19" t="s">
        <v>16</v>
      </c>
      <c r="G50" s="4"/>
      <c r="H50" s="4"/>
      <c r="I50" s="4"/>
      <c r="J50" s="4"/>
      <c r="K50" s="4"/>
      <c r="L50" s="4"/>
      <c r="M50" s="4"/>
    </row>
    <row r="51" ht="14.25">
      <c r="A51" s="4"/>
      <c r="B51" s="4"/>
      <c r="C51" s="2"/>
      <c r="D51" s="5"/>
      <c r="E51" s="4"/>
      <c r="F51" s="4"/>
      <c r="G51" s="4"/>
      <c r="H51" s="4"/>
      <c r="I51" s="4"/>
      <c r="J51" s="4"/>
      <c r="K51" s="4"/>
      <c r="L51" s="4"/>
      <c r="M51" s="4"/>
    </row>
    <row r="52" ht="16.5">
      <c r="A52" s="7" t="s">
        <v>44</v>
      </c>
      <c r="B52" s="4"/>
      <c r="C52" s="2"/>
      <c r="D52" s="5"/>
      <c r="E52" s="4"/>
      <c r="F52" s="4"/>
      <c r="G52" s="4"/>
      <c r="H52" s="4"/>
      <c r="I52" s="4"/>
      <c r="J52" s="4"/>
      <c r="K52" s="4"/>
      <c r="L52" s="4"/>
      <c r="M52" s="4"/>
    </row>
    <row r="53" ht="14.25">
      <c r="A53" s="4"/>
      <c r="B53" s="4" t="s">
        <v>45</v>
      </c>
      <c r="C53" s="2">
        <f>-(C45*C26)/(1+C45*C27)</f>
        <v>-10.347296146476474</v>
      </c>
      <c r="D53" s="5"/>
      <c r="E53" s="4"/>
      <c r="F53" s="4"/>
      <c r="G53" s="4"/>
      <c r="H53" s="4"/>
      <c r="I53" s="4"/>
      <c r="J53" s="4"/>
      <c r="K53" s="4"/>
      <c r="L53" s="4"/>
      <c r="M53" s="4"/>
    </row>
    <row r="54" ht="14.25">
      <c r="A54" s="4"/>
      <c r="B54" t="s">
        <v>46</v>
      </c>
      <c r="C54" s="2">
        <f>ABS(C53)</f>
        <v>10.347296146476474</v>
      </c>
      <c r="D54" s="5" t="s">
        <v>47</v>
      </c>
      <c r="E54" s="4"/>
      <c r="F54" s="4"/>
      <c r="G54" s="4"/>
      <c r="H54" s="4"/>
      <c r="I54" s="4"/>
      <c r="J54" s="4"/>
      <c r="K54" s="4"/>
      <c r="L54" s="4"/>
      <c r="M54" s="4"/>
    </row>
    <row r="55" ht="14.25">
      <c r="A55" s="4"/>
      <c r="B55" s="4" t="s">
        <v>48</v>
      </c>
      <c r="C55" s="20">
        <f>20*LOG10(C54)</f>
        <v>20.296537581219226</v>
      </c>
      <c r="D55" s="21" t="s">
        <v>49</v>
      </c>
      <c r="E55" s="4"/>
      <c r="F55" s="4"/>
      <c r="G55" s="4"/>
      <c r="H55" s="4"/>
      <c r="I55" s="4"/>
      <c r="J55" s="4"/>
      <c r="K55" s="4"/>
      <c r="L55" s="4"/>
      <c r="M55" s="4"/>
    </row>
    <row r="56" ht="14.25">
      <c r="A56" s="4"/>
      <c r="B56" s="4"/>
      <c r="C56" s="2"/>
      <c r="D56" s="5"/>
      <c r="E56" s="4"/>
      <c r="F56" s="4"/>
      <c r="G56" s="4"/>
      <c r="H56" s="4"/>
      <c r="I56" s="4"/>
      <c r="J56" s="4"/>
      <c r="K56" s="4"/>
      <c r="L56" s="4"/>
      <c r="M56" s="4"/>
    </row>
    <row r="57" ht="16.5">
      <c r="A57" s="7" t="s">
        <v>50</v>
      </c>
      <c r="B57" s="4"/>
      <c r="C57" s="2"/>
      <c r="D57" s="5"/>
      <c r="E57" s="4"/>
      <c r="F57" s="4"/>
      <c r="G57" s="4"/>
      <c r="H57" s="4"/>
      <c r="I57" s="4"/>
      <c r="J57" s="4"/>
      <c r="K57" s="4"/>
      <c r="L57" s="4"/>
      <c r="M57" s="4"/>
    </row>
    <row r="58" ht="14.25">
      <c r="A58" s="4"/>
      <c r="B58" s="4" t="s">
        <v>51</v>
      </c>
      <c r="C58" s="2">
        <f>C36^2*C26</f>
        <v>0.061134713329918038</v>
      </c>
      <c r="D58" s="5" t="s">
        <v>52</v>
      </c>
      <c r="E58" s="17">
        <f t="shared" ref="E58:E61" si="0">C58*1000</f>
        <v>61.134713329918036</v>
      </c>
      <c r="F58" s="4" t="s">
        <v>53</v>
      </c>
      <c r="G58" s="4"/>
      <c r="H58" s="4"/>
      <c r="I58" s="4"/>
      <c r="J58" s="4"/>
      <c r="K58" s="4"/>
      <c r="L58" s="4"/>
      <c r="M58" s="4"/>
    </row>
    <row r="59" ht="14.25">
      <c r="A59" s="4"/>
      <c r="B59" s="4" t="s">
        <v>54</v>
      </c>
      <c r="C59" s="2">
        <f>C34^2*C27</f>
        <v>0.0057065573770491802</v>
      </c>
      <c r="D59" s="5" t="s">
        <v>52</v>
      </c>
      <c r="E59" s="18">
        <f t="shared" si="0"/>
        <v>5.7065573770491804</v>
      </c>
      <c r="F59" s="4" t="s">
        <v>53</v>
      </c>
      <c r="G59" s="4"/>
      <c r="H59" s="4"/>
      <c r="I59" s="4"/>
      <c r="J59" s="4"/>
      <c r="K59" s="4"/>
      <c r="L59" s="4"/>
      <c r="M59" s="4"/>
    </row>
    <row r="60" ht="14.25">
      <c r="A60" s="4"/>
      <c r="B60" s="4" t="s">
        <v>55</v>
      </c>
      <c r="C60" s="2">
        <f>C37^2/C30</f>
        <v>0.002536737804878049</v>
      </c>
      <c r="D60" s="5" t="s">
        <v>52</v>
      </c>
      <c r="E60" s="18">
        <f t="shared" si="0"/>
        <v>2.5367378048780491</v>
      </c>
      <c r="F60" s="4" t="s">
        <v>53</v>
      </c>
      <c r="G60" s="4"/>
      <c r="H60" s="4"/>
      <c r="I60" s="4"/>
      <c r="J60" s="4"/>
      <c r="K60" s="4"/>
      <c r="L60" s="4"/>
      <c r="M60" s="4"/>
    </row>
    <row r="61" ht="14.25">
      <c r="A61" s="4"/>
      <c r="B61" s="4" t="s">
        <v>56</v>
      </c>
      <c r="C61" s="2">
        <f>(C24-C37)^2/C38</f>
        <v>0.021494247959811894</v>
      </c>
      <c r="D61" s="5" t="s">
        <v>52</v>
      </c>
      <c r="E61" s="18">
        <f t="shared" si="0"/>
        <v>21.494247959811894</v>
      </c>
      <c r="F61" s="4" t="s">
        <v>53</v>
      </c>
      <c r="G61" s="4"/>
      <c r="H61" s="4"/>
      <c r="I61" s="4"/>
      <c r="J61" s="4"/>
      <c r="K61" s="4"/>
      <c r="L61" s="4"/>
      <c r="M61" s="4"/>
    </row>
    <row r="62" ht="14.25">
      <c r="A62" s="4"/>
      <c r="B62" s="4"/>
      <c r="C62" s="2"/>
      <c r="D62" s="5"/>
      <c r="E62" s="4"/>
      <c r="F62" s="4"/>
      <c r="G62" s="4"/>
      <c r="H62" s="4"/>
      <c r="I62" s="4"/>
      <c r="J62" s="4"/>
      <c r="K62" s="4"/>
      <c r="L62" s="4"/>
      <c r="M62" s="4"/>
    </row>
    <row r="63" ht="14.25">
      <c r="A63" s="4"/>
      <c r="B63" s="4"/>
      <c r="C63" s="2"/>
      <c r="D63" s="5"/>
      <c r="E63" s="4"/>
      <c r="F63" s="4"/>
      <c r="G63" s="4"/>
      <c r="H63" s="4"/>
      <c r="I63" s="4"/>
      <c r="J63" s="4"/>
      <c r="K63" s="4"/>
      <c r="L63" s="4"/>
      <c r="M63" s="4"/>
    </row>
    <row r="64" ht="14.25">
      <c r="A64" s="4"/>
      <c r="B64" s="4"/>
      <c r="C64" s="2"/>
      <c r="D64" s="5"/>
      <c r="E64" s="4"/>
      <c r="F64" s="4"/>
      <c r="G64" s="4"/>
      <c r="H64" s="4"/>
      <c r="I64" s="4"/>
      <c r="J64" s="4"/>
      <c r="K64" s="4"/>
      <c r="L64" s="4"/>
      <c r="M64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8" zoomScale="100" workbookViewId="0">
      <selection activeCell="A1" activeCellId="0" sqref="A1"/>
    </sheetView>
  </sheetViews>
  <sheetFormatPr defaultRowHeight="15"/>
  <cols>
    <col customWidth="1" min="2" max="2" width="38.57421875"/>
  </cols>
  <sheetData>
    <row r="1" ht="18.75">
      <c r="A1" s="3" t="s">
        <v>0</v>
      </c>
      <c r="B1" s="4"/>
      <c r="C1" s="2"/>
      <c r="D1" s="5"/>
      <c r="E1" s="4"/>
      <c r="F1" s="4"/>
      <c r="G1" s="4"/>
      <c r="H1" s="4"/>
      <c r="I1" s="4"/>
      <c r="J1" s="4"/>
      <c r="K1" s="4"/>
      <c r="L1" s="4"/>
      <c r="M1" s="4"/>
    </row>
    <row r="2" ht="18.75">
      <c r="A2" s="3"/>
      <c r="B2" s="4"/>
      <c r="C2" s="2"/>
      <c r="D2" s="5"/>
      <c r="E2" s="4"/>
      <c r="F2" s="4"/>
      <c r="G2" s="4"/>
      <c r="H2" s="4"/>
      <c r="I2" s="4"/>
      <c r="J2" s="4"/>
      <c r="K2" s="4"/>
      <c r="L2" s="4"/>
      <c r="M2" s="4"/>
    </row>
    <row r="3" ht="21">
      <c r="A3" s="6" t="s">
        <v>1</v>
      </c>
      <c r="B3" s="6" t="s">
        <v>2</v>
      </c>
      <c r="C3" s="2"/>
      <c r="D3" s="5"/>
      <c r="E3" s="4"/>
      <c r="F3" s="4"/>
      <c r="G3" s="4"/>
      <c r="H3" s="4"/>
      <c r="I3" s="4"/>
      <c r="J3" s="4"/>
      <c r="K3" s="4"/>
      <c r="L3" s="4"/>
      <c r="M3" s="4"/>
    </row>
    <row r="4" ht="16.5">
      <c r="A4" s="4"/>
      <c r="B4" s="7"/>
      <c r="C4" s="8"/>
      <c r="D4" s="5"/>
      <c r="E4" s="4"/>
      <c r="F4" s="4"/>
      <c r="G4" s="4"/>
      <c r="H4" s="4"/>
      <c r="I4" s="4"/>
      <c r="J4" s="4"/>
      <c r="K4" s="4"/>
      <c r="L4" s="4"/>
      <c r="M4" s="4"/>
    </row>
    <row r="5" ht="16.5">
      <c r="A5" s="4"/>
      <c r="B5" s="7"/>
      <c r="C5" s="8"/>
      <c r="D5" s="5"/>
      <c r="E5" s="4"/>
      <c r="F5" s="4"/>
      <c r="G5" s="4"/>
      <c r="H5" s="4"/>
      <c r="I5" s="4"/>
      <c r="J5" s="4"/>
      <c r="K5" s="4"/>
      <c r="L5" s="4"/>
      <c r="M5" s="4"/>
    </row>
    <row r="6" ht="16.5">
      <c r="A6" s="4"/>
      <c r="B6" s="7"/>
      <c r="C6" s="8"/>
      <c r="D6" s="5"/>
      <c r="E6" s="4"/>
      <c r="F6" s="4"/>
      <c r="G6" s="4"/>
      <c r="H6" s="4"/>
      <c r="I6" s="4"/>
      <c r="J6" s="4"/>
      <c r="K6" s="4"/>
      <c r="L6" s="4"/>
      <c r="M6" s="4"/>
    </row>
    <row r="7" ht="16.5">
      <c r="A7" s="4"/>
      <c r="B7" s="7"/>
      <c r="C7" s="8"/>
      <c r="D7" s="5"/>
      <c r="E7" s="4"/>
      <c r="F7" s="4"/>
      <c r="G7" s="4"/>
      <c r="H7" s="4"/>
      <c r="I7" s="4"/>
      <c r="J7" s="4"/>
      <c r="K7" s="4"/>
      <c r="L7" s="4"/>
      <c r="M7" s="4"/>
    </row>
    <row r="8" ht="16.5">
      <c r="A8" s="4"/>
      <c r="B8" s="7"/>
      <c r="C8" s="8"/>
      <c r="D8" s="5"/>
      <c r="E8" s="4"/>
      <c r="F8" s="4"/>
      <c r="G8" s="4"/>
      <c r="H8" s="4"/>
      <c r="I8" s="4"/>
      <c r="J8" s="4"/>
      <c r="K8" s="4"/>
      <c r="L8" s="4"/>
      <c r="M8" s="4"/>
      <c r="P8" s="5"/>
    </row>
    <row r="9" ht="16.5">
      <c r="A9" s="4"/>
      <c r="B9" s="7"/>
      <c r="C9" s="8"/>
      <c r="D9" s="5"/>
      <c r="E9" s="4"/>
      <c r="F9" s="4"/>
      <c r="G9" s="4"/>
      <c r="H9" s="4"/>
      <c r="I9" s="4"/>
      <c r="J9" s="4"/>
      <c r="K9" s="4"/>
      <c r="L9" s="4"/>
      <c r="M9" s="4"/>
    </row>
    <row r="10" ht="16.5">
      <c r="A10" s="4"/>
      <c r="B10" s="7"/>
      <c r="C10" s="8"/>
      <c r="D10" s="5"/>
      <c r="E10" s="4"/>
      <c r="F10" s="4"/>
      <c r="G10" s="4"/>
      <c r="H10" s="4"/>
      <c r="I10" s="4"/>
      <c r="J10" s="4"/>
      <c r="K10" s="4"/>
      <c r="L10" s="4"/>
      <c r="M10" s="4"/>
    </row>
    <row r="11" ht="16.5">
      <c r="A11" s="4"/>
      <c r="B11" s="7"/>
      <c r="C11" s="8"/>
      <c r="D11" s="5"/>
      <c r="E11" s="4"/>
      <c r="F11" s="4"/>
      <c r="G11" s="4"/>
      <c r="H11" s="4"/>
      <c r="I11" s="4"/>
      <c r="J11" s="4"/>
      <c r="K11" s="4"/>
      <c r="L11" s="4"/>
      <c r="M11" s="4"/>
    </row>
    <row r="12" ht="16.5">
      <c r="A12" s="4"/>
      <c r="B12" s="7"/>
      <c r="C12" s="8"/>
      <c r="D12" s="5"/>
      <c r="E12" s="4"/>
      <c r="F12" s="4"/>
      <c r="G12" s="4"/>
      <c r="H12" s="4"/>
      <c r="I12" s="4"/>
      <c r="J12" s="4"/>
      <c r="K12" s="4"/>
      <c r="L12" s="4"/>
      <c r="M12" s="4"/>
    </row>
    <row r="13" ht="18.75">
      <c r="A13" s="4"/>
      <c r="B13" s="7"/>
      <c r="C13" s="8"/>
      <c r="D13" s="5"/>
      <c r="E13" s="4"/>
      <c r="F13" s="4"/>
      <c r="G13" s="4"/>
      <c r="H13" s="9"/>
      <c r="I13" s="4"/>
      <c r="J13" s="4"/>
      <c r="K13" s="4"/>
      <c r="L13" s="4"/>
      <c r="M13" s="4"/>
    </row>
    <row r="14" ht="16.5">
      <c r="A14" s="4"/>
      <c r="B14" s="7"/>
      <c r="C14" s="8"/>
      <c r="D14" s="5"/>
      <c r="E14" s="4"/>
      <c r="F14" s="4"/>
      <c r="G14" s="4"/>
      <c r="H14" s="4"/>
      <c r="I14" s="4"/>
      <c r="J14" s="4"/>
      <c r="K14" s="4"/>
      <c r="L14" s="4"/>
      <c r="M14" s="4"/>
    </row>
    <row r="15" ht="16.5">
      <c r="A15" s="4"/>
      <c r="B15" s="7"/>
      <c r="C15" s="8"/>
      <c r="D15" s="5"/>
      <c r="E15" s="4"/>
      <c r="F15" s="4"/>
      <c r="G15" s="4"/>
      <c r="H15" s="4"/>
      <c r="I15" s="4"/>
      <c r="J15" s="4"/>
      <c r="K15" s="4"/>
      <c r="L15" s="4"/>
      <c r="M15" s="4"/>
    </row>
    <row r="16" ht="16.5">
      <c r="A16" s="4"/>
      <c r="B16" s="7"/>
      <c r="C16" s="8"/>
      <c r="D16" s="5"/>
      <c r="E16" s="4"/>
      <c r="F16" s="4"/>
      <c r="G16" s="4"/>
      <c r="H16" s="4"/>
      <c r="I16" s="4"/>
      <c r="J16" s="4"/>
      <c r="K16" s="4"/>
      <c r="L16" s="4"/>
      <c r="M16" s="4"/>
    </row>
    <row r="17" ht="16.5">
      <c r="A17" s="4"/>
      <c r="B17" s="7"/>
      <c r="C17" s="8"/>
      <c r="D17" s="5"/>
      <c r="E17" s="4"/>
      <c r="F17" s="4"/>
      <c r="G17" s="4"/>
      <c r="H17" s="4"/>
      <c r="I17" s="4"/>
      <c r="J17" s="4"/>
      <c r="K17" s="4"/>
      <c r="L17" s="4"/>
      <c r="M17" s="4"/>
    </row>
    <row r="18" ht="16.5">
      <c r="A18" s="4"/>
      <c r="B18" s="7"/>
      <c r="C18" s="8"/>
      <c r="D18" s="5"/>
      <c r="E18" s="4"/>
      <c r="F18" s="4"/>
      <c r="G18" s="4"/>
      <c r="H18" s="4"/>
      <c r="I18" s="4"/>
      <c r="J18" s="4"/>
      <c r="K18" s="4"/>
      <c r="L18" s="4"/>
      <c r="M18" s="4"/>
    </row>
    <row r="19" ht="16.5">
      <c r="A19" s="4"/>
      <c r="B19" s="7"/>
      <c r="C19" s="8"/>
      <c r="D19" s="5"/>
      <c r="E19" s="4"/>
      <c r="F19" s="4"/>
      <c r="G19" s="4"/>
      <c r="H19" s="4"/>
      <c r="I19" s="4"/>
      <c r="J19" s="4"/>
      <c r="K19" s="4"/>
      <c r="L19" s="4"/>
      <c r="M19" s="4"/>
    </row>
    <row r="20" ht="16.5">
      <c r="A20" s="4"/>
      <c r="B20" s="7"/>
      <c r="C20" s="8"/>
      <c r="D20" s="5"/>
      <c r="E20" s="4"/>
      <c r="F20" s="4"/>
      <c r="G20" s="4"/>
      <c r="H20" s="4"/>
      <c r="I20" s="4"/>
      <c r="J20" s="4"/>
      <c r="K20" s="4"/>
      <c r="L20" s="4"/>
      <c r="M20" s="4"/>
    </row>
    <row r="21" ht="16.5">
      <c r="A21" s="4"/>
      <c r="B21" s="7"/>
      <c r="C21" s="8"/>
      <c r="D21" s="5"/>
      <c r="E21" s="4"/>
      <c r="F21" s="4"/>
      <c r="G21" s="4"/>
      <c r="H21" s="4"/>
      <c r="I21" s="4"/>
      <c r="J21" s="4"/>
      <c r="K21" s="4"/>
      <c r="L21" s="4"/>
      <c r="M21" s="4"/>
    </row>
    <row r="22" ht="16.5">
      <c r="A22" s="7" t="s">
        <v>3</v>
      </c>
      <c r="B22" s="10"/>
      <c r="C22" s="11"/>
      <c r="D22" s="12"/>
      <c r="E22" s="10"/>
      <c r="F22" s="10"/>
      <c r="G22" s="10"/>
      <c r="H22" s="10"/>
      <c r="I22" s="10"/>
      <c r="J22" s="10"/>
      <c r="K22" s="10"/>
      <c r="L22" s="10"/>
      <c r="M22" s="10"/>
    </row>
    <row r="23">
      <c r="A23" s="13"/>
      <c r="B23" s="13" t="s">
        <v>4</v>
      </c>
      <c r="C23" s="14" t="s">
        <v>5</v>
      </c>
      <c r="D23" s="14" t="s">
        <v>6</v>
      </c>
      <c r="E23" s="13" t="s">
        <v>7</v>
      </c>
      <c r="F23" s="13"/>
      <c r="G23" s="13"/>
      <c r="H23" s="13"/>
      <c r="I23" s="13"/>
      <c r="J23" s="13"/>
      <c r="K23" s="13"/>
      <c r="L23" s="13"/>
      <c r="M23" s="13"/>
    </row>
    <row r="24">
      <c r="A24" s="4"/>
      <c r="B24" s="4" t="s">
        <v>8</v>
      </c>
      <c r="C24" s="2">
        <v>12</v>
      </c>
      <c r="D24" s="5" t="s">
        <v>9</v>
      </c>
      <c r="E24" s="4" t="s">
        <v>10</v>
      </c>
      <c r="F24" s="4"/>
      <c r="G24" s="4"/>
      <c r="H24" s="4"/>
      <c r="I24" s="4"/>
      <c r="J24" s="4"/>
      <c r="K24" s="4"/>
      <c r="L24" s="4"/>
      <c r="M24" s="4"/>
    </row>
    <row r="25">
      <c r="A25" s="4"/>
      <c r="B25" s="4" t="s">
        <v>11</v>
      </c>
      <c r="C25" s="2">
        <v>238</v>
      </c>
      <c r="D25" s="5" t="s">
        <v>12</v>
      </c>
      <c r="E25" s="4" t="s">
        <v>13</v>
      </c>
      <c r="F25" s="4"/>
      <c r="G25" s="2">
        <v>238</v>
      </c>
      <c r="H25" s="4" t="s">
        <v>12</v>
      </c>
      <c r="I25" s="4" t="s">
        <v>14</v>
      </c>
      <c r="J25" s="4"/>
      <c r="K25" s="4"/>
      <c r="L25" s="4"/>
      <c r="M25" s="4"/>
    </row>
    <row r="26">
      <c r="A26" s="4"/>
      <c r="B26" t="s">
        <v>15</v>
      </c>
      <c r="C26" s="2">
        <v>659</v>
      </c>
      <c r="D26" s="5" t="s">
        <v>16</v>
      </c>
      <c r="E26" s="4" t="s">
        <v>17</v>
      </c>
      <c r="F26" s="4"/>
      <c r="G26" s="4">
        <v>659</v>
      </c>
      <c r="H26" s="5" t="s">
        <v>16</v>
      </c>
      <c r="I26" t="s">
        <v>14</v>
      </c>
      <c r="J26" s="4"/>
      <c r="K26" s="4"/>
      <c r="L26" s="4"/>
      <c r="M26" s="4"/>
    </row>
    <row r="27">
      <c r="A27" s="4"/>
      <c r="B27" s="4" t="s">
        <v>18</v>
      </c>
      <c r="C27" s="2">
        <v>56</v>
      </c>
      <c r="D27" s="5" t="s">
        <v>16</v>
      </c>
      <c r="E27" s="4" t="s">
        <v>19</v>
      </c>
      <c r="F27" s="4"/>
      <c r="G27" s="4">
        <v>61</v>
      </c>
      <c r="H27" s="5" t="s">
        <v>16</v>
      </c>
      <c r="I27" s="4" t="s">
        <v>14</v>
      </c>
      <c r="J27" s="4"/>
      <c r="K27" s="4"/>
      <c r="L27" s="4"/>
      <c r="M27" s="4"/>
    </row>
    <row r="28">
      <c r="A28" s="4"/>
      <c r="B28" s="4" t="s">
        <v>20</v>
      </c>
      <c r="C28" s="2">
        <v>0.58999999999999997</v>
      </c>
      <c r="D28" s="5" t="s">
        <v>9</v>
      </c>
      <c r="E28" s="4"/>
      <c r="F28" s="4"/>
      <c r="G28" s="4">
        <v>0.58999999999999997</v>
      </c>
      <c r="H28" t="s">
        <v>9</v>
      </c>
      <c r="I28" s="4" t="s">
        <v>14</v>
      </c>
      <c r="J28" s="4"/>
      <c r="K28" s="4"/>
      <c r="L28" s="4"/>
      <c r="M28" s="4"/>
    </row>
    <row r="29">
      <c r="A29" s="4"/>
      <c r="B29" s="4" t="s">
        <v>21</v>
      </c>
      <c r="C29" s="2">
        <v>0.69999999999999996</v>
      </c>
      <c r="D29" s="5" t="s">
        <v>9</v>
      </c>
      <c r="E29" s="4" t="s">
        <v>17</v>
      </c>
      <c r="F29" s="4"/>
      <c r="G29" s="4">
        <v>0.68999999999999995</v>
      </c>
      <c r="H29" t="s">
        <v>9</v>
      </c>
      <c r="I29" s="4" t="s">
        <v>14</v>
      </c>
      <c r="J29" s="4"/>
      <c r="K29" s="4"/>
      <c r="L29" s="4"/>
      <c r="M29" s="4"/>
    </row>
    <row r="30">
      <c r="A30" s="4"/>
      <c r="B30"/>
      <c r="C30" s="2"/>
      <c r="D30" s="5"/>
      <c r="E30" s="4"/>
      <c r="F30" s="4"/>
      <c r="G30" s="4"/>
      <c r="H30" s="5"/>
      <c r="I30" s="4"/>
      <c r="J30" s="4"/>
      <c r="K30" s="4"/>
      <c r="L30" s="4"/>
      <c r="M30" s="4"/>
    </row>
    <row r="31">
      <c r="A31" s="4"/>
      <c r="B31" s="4"/>
      <c r="C31" s="2"/>
      <c r="D31" s="5"/>
      <c r="E31" s="4"/>
      <c r="F31" s="4"/>
      <c r="G31" s="4"/>
      <c r="H31" s="4"/>
      <c r="I31" s="4"/>
      <c r="J31" s="4"/>
      <c r="K31" s="4"/>
      <c r="L31" s="4"/>
      <c r="M31" s="4"/>
    </row>
    <row r="32">
      <c r="A32" s="4"/>
      <c r="B32" s="4"/>
      <c r="C32" s="2"/>
      <c r="D32" s="5"/>
      <c r="E32" s="4"/>
      <c r="F32" s="4"/>
      <c r="G32" s="4"/>
      <c r="H32" s="4"/>
      <c r="I32" s="4"/>
      <c r="J32" s="4"/>
      <c r="K32" s="4"/>
      <c r="L32" s="4"/>
      <c r="M32" s="4"/>
    </row>
    <row r="33" ht="16.5">
      <c r="A33" s="7" t="s">
        <v>23</v>
      </c>
      <c r="B33" s="4"/>
      <c r="C33" s="2"/>
      <c r="D33" s="5"/>
      <c r="E33" s="4"/>
      <c r="F33" s="4"/>
      <c r="G33" s="4"/>
      <c r="H33" s="4"/>
      <c r="I33" s="4"/>
      <c r="J33" s="4"/>
      <c r="K33" s="4"/>
      <c r="L33" s="4"/>
      <c r="M33" s="4"/>
    </row>
    <row r="34">
      <c r="A34" s="4"/>
      <c r="B34" s="4" t="s">
        <v>24</v>
      </c>
      <c r="C34" s="2">
        <f>C28/C27</f>
        <v>0.010535714285714285</v>
      </c>
      <c r="D34" s="5" t="s">
        <v>25</v>
      </c>
      <c r="E34" s="17">
        <f>C34*1000</f>
        <v>10.535714285714285</v>
      </c>
      <c r="F34" s="4" t="s">
        <v>26</v>
      </c>
      <c r="G34" s="4"/>
      <c r="H34" s="4"/>
      <c r="I34" s="4"/>
      <c r="J34" s="4"/>
      <c r="K34" s="4"/>
      <c r="L34" s="4"/>
      <c r="M34" s="4"/>
    </row>
    <row r="35">
      <c r="A35" s="4"/>
      <c r="B35" s="4" t="s">
        <v>27</v>
      </c>
      <c r="C35" s="2">
        <f>C34/(C25+1)</f>
        <v>4.4082486551105797e-05</v>
      </c>
      <c r="D35" s="5" t="s">
        <v>25</v>
      </c>
      <c r="E35" s="17">
        <f>C35*1000000</f>
        <v>44.082486551105795</v>
      </c>
      <c r="F35" s="4" t="s">
        <v>28</v>
      </c>
      <c r="G35" s="4"/>
      <c r="H35" s="4"/>
      <c r="I35" s="4"/>
      <c r="J35" s="4"/>
      <c r="K35" s="4"/>
      <c r="L35" s="4"/>
      <c r="M35" s="4"/>
    </row>
    <row r="36">
      <c r="A36" s="4"/>
      <c r="B36" s="4" t="s">
        <v>29</v>
      </c>
      <c r="C36" s="2">
        <f>C25*C35</f>
        <v>0.01049163179916318</v>
      </c>
      <c r="D36" s="5" t="s">
        <v>25</v>
      </c>
      <c r="E36" s="18">
        <f>C36*1000</f>
        <v>10.49163179916318</v>
      </c>
      <c r="F36" s="4" t="s">
        <v>26</v>
      </c>
      <c r="G36" s="4"/>
      <c r="H36" s="4"/>
      <c r="I36" s="4"/>
      <c r="J36" s="4"/>
      <c r="K36" s="4"/>
      <c r="L36" s="4"/>
      <c r="M36" s="4"/>
    </row>
    <row r="37">
      <c r="A37" s="4"/>
      <c r="B37" s="4" t="s">
        <v>30</v>
      </c>
      <c r="C37" s="2">
        <f>C28+C29</f>
        <v>1.29</v>
      </c>
      <c r="D37" s="5" t="s">
        <v>9</v>
      </c>
      <c r="E37" s="17"/>
      <c r="F37" s="4"/>
      <c r="G37" s="4">
        <v>1.29</v>
      </c>
      <c r="H37" s="4" t="s">
        <v>9</v>
      </c>
      <c r="I37" s="4" t="s">
        <v>14</v>
      </c>
      <c r="J37" s="4"/>
      <c r="K37" s="4"/>
      <c r="L37" s="4"/>
      <c r="M37" s="4"/>
    </row>
    <row r="38">
      <c r="A38" s="4"/>
      <c r="B38" s="22" t="s">
        <v>57</v>
      </c>
      <c r="C38" s="20">
        <f>(C24-C37)/(C35)</f>
        <v>242953.6271186441</v>
      </c>
      <c r="D38" s="21" t="s">
        <v>16</v>
      </c>
      <c r="E38" s="23">
        <f>C38/1000</f>
        <v>242.95362711864411</v>
      </c>
      <c r="F38" s="21" t="s">
        <v>32</v>
      </c>
      <c r="G38" s="24">
        <f>220+47</f>
        <v>267</v>
      </c>
      <c r="H38" s="4" t="s">
        <v>33</v>
      </c>
      <c r="I38" s="4" t="s">
        <v>14</v>
      </c>
      <c r="J38" s="4"/>
      <c r="K38" s="4"/>
      <c r="L38" s="4"/>
      <c r="M38" s="4"/>
    </row>
    <row r="39">
      <c r="A39" s="4"/>
      <c r="B39" s="4" t="s">
        <v>34</v>
      </c>
      <c r="C39" s="2">
        <f>((C24-C28)/2)+C37</f>
        <v>6.9950000000000001</v>
      </c>
      <c r="D39" s="5" t="s">
        <v>9</v>
      </c>
      <c r="E39" s="4"/>
      <c r="F39" s="4"/>
      <c r="G39" s="4">
        <v>6.1600000000000001</v>
      </c>
      <c r="H39" s="4" t="s">
        <v>9</v>
      </c>
      <c r="I39" s="4" t="s">
        <v>14</v>
      </c>
      <c r="J39" s="4"/>
      <c r="K39" s="4"/>
      <c r="L39" s="4"/>
      <c r="M39" s="4"/>
    </row>
    <row r="40">
      <c r="A40" s="4"/>
      <c r="B40" s="4" t="s">
        <v>35</v>
      </c>
      <c r="C40" s="2">
        <f>C39-C28</f>
        <v>6.4050000000000002</v>
      </c>
      <c r="D40" s="5" t="s">
        <v>9</v>
      </c>
      <c r="E40" s="4"/>
      <c r="F40" s="4"/>
      <c r="G40" s="4">
        <v>5.5599999999999996</v>
      </c>
      <c r="H40" s="4" t="s">
        <v>9</v>
      </c>
      <c r="I40" s="4" t="s">
        <v>14</v>
      </c>
      <c r="J40" s="4"/>
      <c r="K40" s="4"/>
      <c r="L40" s="4"/>
      <c r="M40" s="4"/>
    </row>
    <row r="41">
      <c r="A41" s="4"/>
      <c r="B41" s="4"/>
      <c r="C41" s="2"/>
      <c r="D41" s="5"/>
      <c r="E41" s="4"/>
      <c r="F41" s="4"/>
      <c r="G41" s="4"/>
      <c r="H41" s="4"/>
      <c r="I41" s="4"/>
      <c r="J41" s="4"/>
      <c r="K41" s="4"/>
      <c r="L41" s="4"/>
      <c r="M41" s="4"/>
    </row>
    <row r="42" ht="16.5">
      <c r="A42" s="7" t="s">
        <v>36</v>
      </c>
      <c r="B42" s="4"/>
      <c r="C42" s="2"/>
      <c r="D42" s="5"/>
      <c r="E42" s="4"/>
      <c r="F42" s="4"/>
      <c r="G42" s="4"/>
      <c r="H42" s="4"/>
      <c r="I42" s="4"/>
      <c r="J42" s="4"/>
      <c r="K42" s="4"/>
      <c r="L42" s="4"/>
      <c r="M42" s="4"/>
    </row>
    <row r="43">
      <c r="A43" s="4"/>
      <c r="B43" s="4" t="s">
        <v>37</v>
      </c>
      <c r="C43" s="2">
        <f>0.026/C34</f>
        <v>2.4677966101694917</v>
      </c>
      <c r="D43" s="5"/>
      <c r="E43" s="4"/>
      <c r="F43" s="4"/>
      <c r="G43" s="4"/>
      <c r="H43" s="4"/>
      <c r="I43" s="4"/>
      <c r="J43" s="4"/>
      <c r="K43" s="4"/>
      <c r="L43" s="4"/>
      <c r="M43" s="4"/>
    </row>
    <row r="44">
      <c r="A44" s="4"/>
      <c r="B44" t="s">
        <v>38</v>
      </c>
      <c r="C44" s="2">
        <f>C25*C43</f>
        <v>587.33559322033898</v>
      </c>
      <c r="D44" s="5"/>
      <c r="E44" s="4"/>
      <c r="F44" s="4"/>
      <c r="G44" s="4"/>
      <c r="H44" s="4"/>
      <c r="I44" s="4"/>
      <c r="J44" s="4"/>
      <c r="K44" s="4"/>
      <c r="L44" s="4"/>
      <c r="M44" s="4"/>
    </row>
    <row r="45">
      <c r="A45" s="4"/>
      <c r="B45" s="4" t="s">
        <v>39</v>
      </c>
      <c r="C45" s="2">
        <f>1/C43</f>
        <v>0.40521978021978017</v>
      </c>
      <c r="D45" s="5"/>
      <c r="E45" s="4"/>
      <c r="F45" s="4"/>
      <c r="G45" s="4"/>
      <c r="H45" s="4"/>
      <c r="I45" s="4"/>
      <c r="J45" s="4"/>
      <c r="K45" s="4"/>
      <c r="L45" s="4"/>
      <c r="M45" s="4"/>
    </row>
    <row r="46">
      <c r="A46" s="4"/>
      <c r="B46" s="4"/>
      <c r="C46" s="2"/>
      <c r="D46" s="5"/>
      <c r="E46" s="4"/>
      <c r="F46" s="4"/>
      <c r="G46" s="4"/>
      <c r="H46" s="4"/>
      <c r="I46" s="4"/>
      <c r="J46" s="4"/>
      <c r="K46" s="4"/>
      <c r="L46" s="4"/>
      <c r="M46" s="4"/>
    </row>
    <row r="47" ht="16.5">
      <c r="A47" s="4" t="s">
        <v>40</v>
      </c>
      <c r="B47" s="4"/>
      <c r="C47" s="2"/>
      <c r="D47" s="5"/>
      <c r="E47" s="4"/>
      <c r="F47" s="4"/>
      <c r="G47" s="4"/>
      <c r="H47" s="4"/>
      <c r="I47" s="4"/>
      <c r="J47" s="4"/>
      <c r="K47" s="4"/>
      <c r="L47" s="4"/>
      <c r="M47" s="4"/>
    </row>
    <row r="48">
      <c r="A48" s="4"/>
      <c r="B48" s="4" t="s">
        <v>41</v>
      </c>
      <c r="C48" s="2">
        <f>C44+(C25+1)*C27</f>
        <v>13971.335593220339</v>
      </c>
      <c r="D48" s="5"/>
      <c r="E48" s="17">
        <f>C48/1000</f>
        <v>13.97133559322034</v>
      </c>
      <c r="F48" s="5" t="s">
        <v>32</v>
      </c>
      <c r="G48" s="4"/>
      <c r="H48" s="4"/>
      <c r="I48" s="4"/>
      <c r="J48" s="4"/>
      <c r="K48" s="4"/>
      <c r="L48" s="4"/>
      <c r="M48" s="4"/>
    </row>
    <row r="49">
      <c r="A49" s="4"/>
      <c r="B49" s="4" t="s">
        <v>42</v>
      </c>
      <c r="C49" s="2">
        <f>C38</f>
        <v>242953.6271186441</v>
      </c>
      <c r="D49" s="5"/>
      <c r="E49" s="4"/>
      <c r="F49" s="4"/>
      <c r="G49" s="4"/>
      <c r="H49" s="4"/>
      <c r="I49" s="4"/>
      <c r="J49" s="4"/>
      <c r="K49" s="4"/>
      <c r="L49" s="4"/>
      <c r="M49" s="4"/>
    </row>
    <row r="50">
      <c r="A50" s="4"/>
      <c r="B50" s="4" t="s">
        <v>43</v>
      </c>
      <c r="C50" s="2">
        <f>1/(1/C49+1/C48)</f>
        <v>13211.587625572307</v>
      </c>
      <c r="D50" s="5"/>
      <c r="E50" s="4"/>
      <c r="F50" s="4"/>
      <c r="G50" s="4"/>
      <c r="H50" s="4"/>
      <c r="I50" s="4"/>
      <c r="J50" s="4"/>
      <c r="K50" s="4"/>
      <c r="L50" s="4"/>
      <c r="M50" s="4"/>
    </row>
    <row r="51">
      <c r="A51" s="4"/>
      <c r="B51" s="4"/>
      <c r="C51" s="2"/>
      <c r="D51" s="5"/>
      <c r="E51" s="4"/>
      <c r="F51" s="4"/>
      <c r="G51" s="4"/>
      <c r="H51" s="4"/>
      <c r="I51" s="4"/>
      <c r="J51" s="4"/>
      <c r="K51" s="4"/>
      <c r="L51" s="4"/>
      <c r="M51" s="4"/>
    </row>
    <row r="52" ht="16.5">
      <c r="A52" s="7" t="s">
        <v>44</v>
      </c>
      <c r="B52" s="4"/>
      <c r="C52" s="2"/>
      <c r="D52" s="5"/>
      <c r="E52" s="4"/>
      <c r="F52" s="4"/>
      <c r="G52" s="4"/>
      <c r="H52" s="4"/>
      <c r="I52" s="4"/>
      <c r="J52" s="4"/>
      <c r="K52" s="4"/>
      <c r="L52" s="4"/>
      <c r="M52" s="4"/>
    </row>
    <row r="53">
      <c r="A53" s="4"/>
      <c r="B53" s="4" t="s">
        <v>45</v>
      </c>
      <c r="C53" s="2">
        <f>-(C45*C26)/(1+C45*C27)</f>
        <v>-11.271161873840446</v>
      </c>
      <c r="D53" s="5"/>
      <c r="E53" s="4"/>
      <c r="F53" s="4"/>
      <c r="G53" s="4"/>
      <c r="H53" s="4"/>
      <c r="I53" s="4"/>
      <c r="J53" s="4"/>
      <c r="K53" s="4"/>
      <c r="L53" s="4"/>
      <c r="M53" s="4"/>
    </row>
    <row r="54">
      <c r="A54" s="4"/>
      <c r="B54" s="4" t="s">
        <v>46</v>
      </c>
      <c r="C54" s="2">
        <f>ABS(C53)</f>
        <v>11.271161873840446</v>
      </c>
      <c r="D54" s="5" t="s">
        <v>47</v>
      </c>
      <c r="E54" s="4"/>
      <c r="F54" s="4"/>
      <c r="G54" s="4"/>
      <c r="H54" s="4"/>
      <c r="I54" s="4"/>
      <c r="J54" s="4"/>
      <c r="K54" s="4"/>
      <c r="L54" s="4"/>
      <c r="M54" s="4"/>
    </row>
    <row r="55">
      <c r="A55" s="4"/>
      <c r="B55" s="4" t="s">
        <v>48</v>
      </c>
      <c r="C55" s="20">
        <f>20*LOG10(C54)</f>
        <v>21.039373741310566</v>
      </c>
      <c r="D55" s="21" t="s">
        <v>49</v>
      </c>
      <c r="E55" s="4"/>
      <c r="F55" s="4"/>
      <c r="G55" s="4"/>
      <c r="H55" s="4"/>
      <c r="I55" s="4"/>
      <c r="J55" s="4"/>
      <c r="K55" s="4"/>
      <c r="L55" s="4"/>
      <c r="M55" s="4"/>
    </row>
    <row r="56">
      <c r="A56" s="4"/>
      <c r="B56" s="4"/>
      <c r="C56" s="2"/>
      <c r="D56" s="5"/>
      <c r="E56" s="4"/>
      <c r="F56" s="4"/>
      <c r="G56" s="4"/>
      <c r="H56" s="4"/>
      <c r="I56" s="4"/>
      <c r="J56" s="4"/>
      <c r="K56" s="4"/>
      <c r="L56" s="4"/>
      <c r="M56" s="4"/>
    </row>
    <row r="57" ht="16.5">
      <c r="A57" s="7" t="s">
        <v>50</v>
      </c>
      <c r="B57" s="4"/>
      <c r="C57" s="2"/>
      <c r="D57" s="5"/>
      <c r="E57" s="4"/>
      <c r="F57" s="4"/>
      <c r="G57" s="4"/>
      <c r="H57" s="4"/>
      <c r="I57" s="4"/>
      <c r="J57" s="4"/>
      <c r="K57" s="4"/>
      <c r="L57" s="4"/>
      <c r="M57" s="4"/>
    </row>
    <row r="58">
      <c r="A58" s="4"/>
      <c r="B58" s="4" t="s">
        <v>51</v>
      </c>
      <c r="C58" s="2">
        <f>C36^2*C26</f>
        <v>0.072538988616270714</v>
      </c>
      <c r="D58" s="5" t="s">
        <v>52</v>
      </c>
      <c r="E58" s="17">
        <f>C58*1000</f>
        <v>72.538988616270714</v>
      </c>
      <c r="F58" s="4" t="s">
        <v>53</v>
      </c>
      <c r="G58" s="4"/>
      <c r="H58" s="4"/>
      <c r="I58" s="4"/>
      <c r="J58" s="4"/>
      <c r="K58" s="4"/>
      <c r="L58" s="4"/>
      <c r="M58" s="4"/>
    </row>
    <row r="59">
      <c r="A59" s="4"/>
      <c r="B59" s="4" t="s">
        <v>54</v>
      </c>
      <c r="C59" s="2">
        <f>C34^2*C27</f>
        <v>0.0062160714285714284</v>
      </c>
      <c r="D59" s="5" t="s">
        <v>52</v>
      </c>
      <c r="E59" s="18">
        <f>C59*1000</f>
        <v>6.2160714285714285</v>
      </c>
      <c r="F59" s="4" t="s">
        <v>53</v>
      </c>
      <c r="G59" s="4"/>
      <c r="H59" s="4"/>
      <c r="I59" s="4"/>
      <c r="J59" s="4"/>
      <c r="K59" s="4"/>
      <c r="L59" s="4"/>
      <c r="M59" s="4"/>
    </row>
    <row r="60">
      <c r="A60" s="4"/>
      <c r="B60" s="4" t="s">
        <v>56</v>
      </c>
      <c r="C60" s="2">
        <f>(C24-C37)^2/C38</f>
        <v>0.00047212343096234314</v>
      </c>
      <c r="D60" s="5" t="s">
        <v>52</v>
      </c>
      <c r="E60" s="18">
        <f>C60*1000</f>
        <v>0.47212343096234316</v>
      </c>
      <c r="F60" s="4" t="s">
        <v>53</v>
      </c>
      <c r="G60" s="4"/>
      <c r="H60" s="4"/>
      <c r="I60" s="4"/>
      <c r="J60" s="4"/>
      <c r="K60" s="4"/>
      <c r="L60" s="4"/>
      <c r="M60" s="4"/>
    </row>
    <row r="61">
      <c r="A61" s="4"/>
      <c r="B61" s="4"/>
      <c r="C61" s="2"/>
      <c r="D61" s="5"/>
      <c r="E61" s="4"/>
      <c r="F61" s="4"/>
      <c r="G61" s="4"/>
      <c r="H61" s="4"/>
      <c r="I61" s="4"/>
      <c r="J61" s="4"/>
      <c r="K61" s="4"/>
      <c r="L61" s="4"/>
      <c r="M61" s="4"/>
    </row>
    <row r="62">
      <c r="A62" s="4"/>
      <c r="B62" s="4"/>
      <c r="C62" s="2"/>
      <c r="D62" s="5"/>
      <c r="E62" s="4"/>
      <c r="F62" s="4"/>
      <c r="G62" s="4"/>
      <c r="H62" s="4"/>
      <c r="I62" s="4"/>
      <c r="J62" s="4"/>
      <c r="K62" s="4"/>
      <c r="L62" s="4"/>
      <c r="M62" s="4"/>
    </row>
    <row r="63">
      <c r="A63" s="4"/>
      <c r="B63" s="4"/>
      <c r="C63" s="2"/>
      <c r="D63" s="5"/>
      <c r="E63" s="4"/>
      <c r="F63" s="4"/>
      <c r="G63" s="4"/>
      <c r="H63" s="4"/>
      <c r="I63" s="4"/>
      <c r="J63" s="4"/>
      <c r="K63" s="4"/>
      <c r="L63" s="4"/>
      <c r="M63" s="4"/>
    </row>
    <row r="64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140625"/>
    <col customWidth="1" min="2" max="2" width="37.140625"/>
    <col customWidth="1" min="3" max="3" style="2" width="10.8515625"/>
    <col customWidth="1" min="4" max="4" style="5" width="10.57421875"/>
    <col customWidth="1" min="5" max="5" width="27.28125"/>
  </cols>
  <sheetData>
    <row r="1" ht="18.75">
      <c r="A1" s="25"/>
    </row>
    <row r="2" ht="18.75">
      <c r="A2" s="3"/>
    </row>
    <row r="3" ht="21">
      <c r="A3" s="6" t="s">
        <v>1</v>
      </c>
      <c r="B3" s="6" t="s">
        <v>58</v>
      </c>
    </row>
    <row r="4" ht="16.5">
      <c r="B4" s="7"/>
      <c r="C4" s="8"/>
    </row>
    <row r="5" ht="16.5">
      <c r="B5" s="7"/>
      <c r="C5" s="8"/>
    </row>
    <row r="6" ht="16.5">
      <c r="B6" s="7"/>
      <c r="C6" s="8"/>
    </row>
    <row r="7" ht="16.5">
      <c r="B7" s="7"/>
      <c r="C7" s="8"/>
    </row>
    <row r="8" ht="16.5">
      <c r="B8" s="7"/>
      <c r="C8" s="8"/>
      <c r="D8" s="5"/>
    </row>
    <row r="9" ht="16.5">
      <c r="B9" s="7"/>
      <c r="C9" s="8"/>
    </row>
    <row r="10" ht="16.5">
      <c r="B10" s="7"/>
      <c r="C10" s="8"/>
    </row>
    <row r="11" ht="16.5">
      <c r="B11" s="7"/>
      <c r="C11" s="8"/>
      <c r="D11" s="5"/>
    </row>
    <row r="12" ht="16.5">
      <c r="B12" s="7"/>
      <c r="C12" s="8"/>
    </row>
    <row r="13" ht="16.5">
      <c r="B13" s="7"/>
      <c r="C13" s="8"/>
    </row>
    <row r="14" ht="16.5">
      <c r="B14" s="7"/>
      <c r="C14" s="8"/>
    </row>
    <row r="15" ht="16.5">
      <c r="B15" s="7"/>
      <c r="C15" s="8"/>
    </row>
    <row r="16" ht="16.5">
      <c r="B16" s="7"/>
      <c r="C16" s="8"/>
    </row>
    <row r="17" ht="16.5">
      <c r="B17" s="7"/>
      <c r="C17" s="8"/>
    </row>
    <row r="18" ht="16.5">
      <c r="B18" s="7"/>
      <c r="C18" s="8"/>
    </row>
    <row r="19" ht="16.5">
      <c r="B19" s="7"/>
      <c r="C19" s="8"/>
    </row>
    <row r="20" ht="16.5">
      <c r="B20" s="7"/>
      <c r="C20" s="8"/>
    </row>
    <row r="21" ht="16.5">
      <c r="B21" s="7"/>
      <c r="C21" s="8"/>
    </row>
    <row r="22" s="10" customFormat="1" ht="16.5">
      <c r="A22" s="7" t="s">
        <v>3</v>
      </c>
      <c r="B22" s="10"/>
      <c r="C22" s="11"/>
      <c r="D22" s="12"/>
      <c r="I22" s="10"/>
    </row>
    <row r="23" s="13" customFormat="1">
      <c r="B23" s="13" t="s">
        <v>4</v>
      </c>
      <c r="C23" s="14" t="s">
        <v>5</v>
      </c>
      <c r="D23" s="14" t="s">
        <v>6</v>
      </c>
      <c r="E23" s="13" t="s">
        <v>7</v>
      </c>
      <c r="F23" s="13"/>
      <c r="G23" s="13"/>
      <c r="H23" s="13"/>
      <c r="I23" s="13"/>
      <c r="J23" s="13"/>
      <c r="K23" s="13"/>
      <c r="L23" s="13"/>
      <c r="M23" s="13"/>
    </row>
    <row r="24" ht="14.25">
      <c r="B24" t="s">
        <v>8</v>
      </c>
      <c r="C24" s="2">
        <v>12</v>
      </c>
      <c r="D24" s="5" t="s">
        <v>9</v>
      </c>
      <c r="E24" t="s">
        <v>10</v>
      </c>
    </row>
    <row r="25" ht="14.25">
      <c r="B25" t="s">
        <v>11</v>
      </c>
      <c r="C25" s="2">
        <v>241</v>
      </c>
      <c r="D25" s="5" t="s">
        <v>12</v>
      </c>
      <c r="E25" t="s">
        <v>13</v>
      </c>
      <c r="G25" s="2">
        <v>241</v>
      </c>
      <c r="H25" t="s">
        <v>12</v>
      </c>
      <c r="I25" t="s">
        <v>14</v>
      </c>
    </row>
    <row r="26" ht="14.25">
      <c r="B26" s="15" t="s">
        <v>15</v>
      </c>
      <c r="C26" s="2">
        <v>659</v>
      </c>
      <c r="D26" s="5" t="s">
        <v>16</v>
      </c>
      <c r="E26" t="s">
        <v>17</v>
      </c>
      <c r="G26">
        <v>659</v>
      </c>
      <c r="H26" s="5" t="s">
        <v>16</v>
      </c>
      <c r="I26" t="s">
        <v>14</v>
      </c>
    </row>
    <row r="27" ht="14.25">
      <c r="B27" s="15" t="s">
        <v>18</v>
      </c>
      <c r="C27" s="2">
        <v>61</v>
      </c>
      <c r="D27" s="5" t="s">
        <v>16</v>
      </c>
      <c r="E27" s="15" t="s">
        <v>19</v>
      </c>
      <c r="G27">
        <v>61</v>
      </c>
      <c r="H27" s="5" t="s">
        <v>16</v>
      </c>
      <c r="I27" t="s">
        <v>14</v>
      </c>
    </row>
    <row r="28" ht="14.25">
      <c r="B28" t="s">
        <v>20</v>
      </c>
      <c r="C28" s="2">
        <v>0.55000000000000004</v>
      </c>
      <c r="D28" s="5" t="s">
        <v>9</v>
      </c>
      <c r="G28">
        <v>0.58999999999999997</v>
      </c>
      <c r="H28" t="s">
        <v>9</v>
      </c>
      <c r="I28" t="s">
        <v>14</v>
      </c>
    </row>
    <row r="29" ht="14.25">
      <c r="B29" t="s">
        <v>21</v>
      </c>
      <c r="C29" s="2">
        <v>0.65000000000000002</v>
      </c>
      <c r="D29" s="5" t="s">
        <v>9</v>
      </c>
      <c r="E29" s="4" t="s">
        <v>17</v>
      </c>
      <c r="G29">
        <v>0.68999999999999995</v>
      </c>
      <c r="H29" t="s">
        <v>9</v>
      </c>
      <c r="I29" t="s">
        <v>14</v>
      </c>
    </row>
    <row r="30" ht="14.25">
      <c r="B30" t="s">
        <v>22</v>
      </c>
      <c r="C30" s="2">
        <v>656</v>
      </c>
      <c r="D30" s="5" t="s">
        <v>16</v>
      </c>
      <c r="G30">
        <v>656</v>
      </c>
      <c r="H30" s="5" t="s">
        <v>16</v>
      </c>
      <c r="I30" t="s">
        <v>14</v>
      </c>
    </row>
    <row r="31" ht="16.5">
      <c r="C31" s="2"/>
    </row>
    <row r="32" ht="14.25">
      <c r="C32" s="2"/>
    </row>
    <row r="33" ht="16.5">
      <c r="A33" s="7" t="s">
        <v>23</v>
      </c>
      <c r="C33" s="2"/>
    </row>
    <row r="34" ht="14.25">
      <c r="B34" t="s">
        <v>24</v>
      </c>
      <c r="C34" s="2">
        <f>C28/C27</f>
        <v>0.0090163934426229515</v>
      </c>
      <c r="D34" s="5" t="s">
        <v>25</v>
      </c>
      <c r="E34" s="17">
        <f>C34*1000</f>
        <v>9.0163934426229506</v>
      </c>
      <c r="F34" t="s">
        <v>26</v>
      </c>
    </row>
    <row r="35" ht="14.25">
      <c r="B35" t="s">
        <v>27</v>
      </c>
      <c r="C35" s="2">
        <f>C34/(C25+1)</f>
        <v>3.7257824143070045e-05</v>
      </c>
      <c r="D35" s="5" t="s">
        <v>25</v>
      </c>
      <c r="E35" s="17">
        <f>C35*1000000</f>
        <v>37.257824143070046</v>
      </c>
      <c r="F35" t="s">
        <v>28</v>
      </c>
    </row>
    <row r="36" ht="14.25">
      <c r="B36" t="s">
        <v>29</v>
      </c>
      <c r="C36" s="2">
        <f>C25*C35</f>
        <v>0.0089791356184798811</v>
      </c>
      <c r="D36" s="5" t="s">
        <v>25</v>
      </c>
      <c r="E36" s="18">
        <f>C36*1000</f>
        <v>8.9791356184798818</v>
      </c>
      <c r="F36" t="s">
        <v>26</v>
      </c>
    </row>
    <row r="37" ht="14.25">
      <c r="B37" t="s">
        <v>30</v>
      </c>
      <c r="C37" s="2">
        <f>C28+C29</f>
        <v>1.2000000000000002</v>
      </c>
      <c r="D37" s="5" t="s">
        <v>9</v>
      </c>
      <c r="E37" s="17"/>
      <c r="G37">
        <v>1.2</v>
      </c>
      <c r="H37" t="s">
        <v>9</v>
      </c>
      <c r="I37" s="4" t="s">
        <v>14</v>
      </c>
    </row>
    <row r="38" ht="14.25">
      <c r="B38" t="s">
        <v>31</v>
      </c>
      <c r="C38" s="2">
        <f>(C24-C37)/((C37/C30)+C35)</f>
        <v>5786.1499513145081</v>
      </c>
      <c r="D38" s="5" t="s">
        <v>16</v>
      </c>
      <c r="E38" s="17">
        <f>C38/1000</f>
        <v>5.786149951314508</v>
      </c>
      <c r="F38" s="5" t="s">
        <v>32</v>
      </c>
      <c r="G38">
        <f>5600+220</f>
        <v>5820</v>
      </c>
      <c r="H38" t="s">
        <v>33</v>
      </c>
      <c r="I38" s="4" t="s">
        <v>14</v>
      </c>
    </row>
    <row r="39" ht="14.25">
      <c r="B39" t="s">
        <v>34</v>
      </c>
      <c r="C39" s="2">
        <f>((C24-C28)/2)+C37</f>
        <v>6.9249999999999998</v>
      </c>
      <c r="D39" s="5" t="s">
        <v>9</v>
      </c>
      <c r="G39">
        <v>6.5800000000000001</v>
      </c>
      <c r="H39" t="s">
        <v>9</v>
      </c>
      <c r="I39" s="4" t="s">
        <v>14</v>
      </c>
    </row>
    <row r="40" ht="14.25">
      <c r="B40" t="s">
        <v>35</v>
      </c>
      <c r="C40" s="2">
        <f>C39-C28</f>
        <v>6.375</v>
      </c>
      <c r="D40" s="5" t="s">
        <v>9</v>
      </c>
      <c r="G40">
        <v>6.04</v>
      </c>
      <c r="H40" t="s">
        <v>9</v>
      </c>
      <c r="I40" s="4" t="s">
        <v>14</v>
      </c>
    </row>
    <row r="41" ht="14.25">
      <c r="C41" s="2"/>
    </row>
    <row r="42" ht="16.5">
      <c r="A42" s="7" t="s">
        <v>36</v>
      </c>
      <c r="C42" s="2"/>
    </row>
    <row r="43" ht="14.25">
      <c r="B43" t="s">
        <v>37</v>
      </c>
      <c r="C43" s="2">
        <f>0.026/C34</f>
        <v>2.8836363636363633</v>
      </c>
    </row>
    <row r="44" ht="14.25">
      <c r="B44" s="15" t="s">
        <v>38</v>
      </c>
      <c r="C44" s="2">
        <f>C25*C43</f>
        <v>694.95636363636356</v>
      </c>
    </row>
    <row r="45" ht="14.25">
      <c r="B45" t="s">
        <v>39</v>
      </c>
      <c r="C45" s="2">
        <f>1/C43</f>
        <v>0.34678436317780581</v>
      </c>
    </row>
    <row r="46" ht="14.25">
      <c r="C46" s="2"/>
    </row>
    <row r="47" ht="16.5">
      <c r="A47" s="15" t="s">
        <v>40</v>
      </c>
      <c r="C47" s="2"/>
    </row>
    <row r="48" ht="14.25">
      <c r="B48" t="s">
        <v>41</v>
      </c>
      <c r="C48" s="2">
        <f>C44+(C25+1)*C27</f>
        <v>15456.956363636364</v>
      </c>
    </row>
    <row r="49" ht="14.25">
      <c r="B49" t="s">
        <v>42</v>
      </c>
      <c r="C49" s="2">
        <f>1/(1/C38+1/C30)</f>
        <v>589.19994050865103</v>
      </c>
    </row>
    <row r="50" ht="14.25">
      <c r="B50" t="s">
        <v>43</v>
      </c>
      <c r="C50" s="2">
        <f>1/(1/C49+1/C48)</f>
        <v>567.56506650423159</v>
      </c>
    </row>
    <row r="51" ht="14.25">
      <c r="C51" s="2"/>
    </row>
    <row r="52" ht="16.5">
      <c r="A52" s="7" t="s">
        <v>44</v>
      </c>
      <c r="C52" s="2"/>
    </row>
    <row r="53" ht="14.25">
      <c r="B53" t="s">
        <v>45</v>
      </c>
      <c r="C53" s="2">
        <f>-(C45*C26)/(1+C45*C27)</f>
        <v>-10.315630692167579</v>
      </c>
      <c r="D53" s="5"/>
    </row>
    <row r="54" ht="14.25">
      <c r="B54" s="15" t="s">
        <v>46</v>
      </c>
      <c r="C54" s="2">
        <f>ABS(C53)</f>
        <v>10.315630692167579</v>
      </c>
      <c r="D54" s="5" t="s">
        <v>47</v>
      </c>
    </row>
    <row r="55" ht="14.25">
      <c r="B55" t="s">
        <v>48</v>
      </c>
      <c r="C55" s="20">
        <f>20*LOG10(C54)</f>
        <v>20.269915713085492</v>
      </c>
      <c r="D55" s="21" t="s">
        <v>49</v>
      </c>
    </row>
    <row r="56" ht="14.25">
      <c r="C56" s="2"/>
    </row>
    <row r="57" ht="16.5">
      <c r="A57" s="7" t="s">
        <v>50</v>
      </c>
      <c r="C57" s="2"/>
    </row>
    <row r="58" ht="14.25">
      <c r="B58" t="s">
        <v>51</v>
      </c>
      <c r="C58" s="2">
        <f>C36^2*C26</f>
        <v>0.053131793583880635</v>
      </c>
      <c r="D58" s="5" t="s">
        <v>52</v>
      </c>
      <c r="E58" s="17">
        <f t="shared" ref="E58:E61" si="1">C58*1000</f>
        <v>53.131793583880636</v>
      </c>
      <c r="F58" t="s">
        <v>53</v>
      </c>
    </row>
    <row r="59" ht="14.25">
      <c r="B59" t="s">
        <v>54</v>
      </c>
      <c r="C59" s="2">
        <f>C34^2*C27</f>
        <v>0.0049590163934426241</v>
      </c>
      <c r="D59" s="5" t="s">
        <v>52</v>
      </c>
      <c r="E59" s="18">
        <f t="shared" si="1"/>
        <v>4.9590163934426243</v>
      </c>
      <c r="F59" t="s">
        <v>53</v>
      </c>
    </row>
    <row r="60" ht="14.25">
      <c r="B60" t="s">
        <v>55</v>
      </c>
      <c r="C60" s="2">
        <f>C37^2/C30</f>
        <v>0.0021951219512195128</v>
      </c>
      <c r="D60" s="5" t="s">
        <v>52</v>
      </c>
      <c r="E60" s="18">
        <f t="shared" si="1"/>
        <v>2.1951219512195128</v>
      </c>
      <c r="F60" t="s">
        <v>53</v>
      </c>
    </row>
    <row r="61" ht="14.25">
      <c r="B61" t="s">
        <v>56</v>
      </c>
      <c r="C61" s="2">
        <f>(C24-C37)^2/C38</f>
        <v>0.020158482061720769</v>
      </c>
      <c r="D61" s="5" t="s">
        <v>52</v>
      </c>
      <c r="E61" s="18">
        <f t="shared" si="1"/>
        <v>20.158482061720768</v>
      </c>
      <c r="F61" t="s">
        <v>53</v>
      </c>
    </row>
    <row r="62" ht="14.25">
      <c r="C62" s="2"/>
    </row>
    <row r="63" ht="14.25">
      <c r="C63" s="2"/>
    </row>
    <row r="64" ht="14.25">
      <c r="C64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2025-12-08T22:21:42Z</dcterms:modified>
</cp:coreProperties>
</file>