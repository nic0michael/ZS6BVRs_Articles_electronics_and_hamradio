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sign" sheetId="1" state="visible" r:id="rId1"/>
    <sheet name="Calibration" sheetId="2" state="visible" r:id="rId2"/>
  </sheets>
  <calcPr/>
</workbook>
</file>

<file path=xl/sharedStrings.xml><?xml version="1.0" encoding="utf-8"?>
<sst xmlns="http://schemas.openxmlformats.org/spreadsheetml/2006/main" count="45" uniqueCount="45">
  <si>
    <t xml:space="preserve">RF Tap</t>
  </si>
  <si>
    <t>Zin</t>
  </si>
  <si>
    <t>OHM</t>
  </si>
  <si>
    <t>Power</t>
  </si>
  <si>
    <t>W</t>
  </si>
  <si>
    <t>Vs</t>
  </si>
  <si>
    <t>Voltage</t>
  </si>
  <si>
    <t>V</t>
  </si>
  <si>
    <t>VR1</t>
  </si>
  <si>
    <t>R1</t>
  </si>
  <si>
    <t>R2</t>
  </si>
  <si>
    <t>Zout</t>
  </si>
  <si>
    <t xml:space="preserve">Power Output</t>
  </si>
  <si>
    <t>mW</t>
  </si>
  <si>
    <t>VR2</t>
  </si>
  <si>
    <t>VR1/VR2</t>
  </si>
  <si>
    <t>=R1/R2</t>
  </si>
  <si>
    <t>R</t>
  </si>
  <si>
    <t>Resistors</t>
  </si>
  <si>
    <t xml:space="preserve">In Series</t>
  </si>
  <si>
    <t>=======================================================================================</t>
  </si>
  <si>
    <t>Ohm</t>
  </si>
  <si>
    <t>PR1</t>
  </si>
  <si>
    <t>I</t>
  </si>
  <si>
    <t>Current</t>
  </si>
  <si>
    <t>A</t>
  </si>
  <si>
    <t>PR2</t>
  </si>
  <si>
    <t xml:space="preserve">Resistance in pcb</t>
  </si>
  <si>
    <t>Error</t>
  </si>
  <si>
    <t>%</t>
  </si>
  <si>
    <t xml:space="preserve">V1/V2 =R1/R2</t>
  </si>
  <si>
    <t>https://ohmslawcalculator.com/voltage-divider-calculator</t>
  </si>
  <si>
    <t>dBm</t>
  </si>
  <si>
    <t>Frequency</t>
  </si>
  <si>
    <t>Attenuation</t>
  </si>
  <si>
    <t xml:space="preserve">O/P with 100W</t>
  </si>
  <si>
    <t xml:space="preserve"> O/P with 10W</t>
  </si>
  <si>
    <t xml:space="preserve">   O/P with 5W</t>
  </si>
  <si>
    <t xml:space="preserve">        O/P with 1W</t>
  </si>
  <si>
    <t>100W</t>
  </si>
  <si>
    <t>MHz</t>
  </si>
  <si>
    <t>dB</t>
  </si>
  <si>
    <t>50W</t>
  </si>
  <si>
    <t>5W</t>
  </si>
  <si>
    <t>1W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</si>
</sst>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24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16.000000"/>
      <color theme="1"/>
      <name val="Calibri"/>
      <scheme val="minor"/>
    </font>
    <font>
      <sz val="16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1" fillId="0" borderId="0" numFmtId="2" xfId="0" applyNumberFormat="1" applyFont="1"/>
    <xf fontId="2" fillId="0" borderId="0" numFmtId="0" xfId="0" applyFont="1"/>
    <xf fontId="3" fillId="0" borderId="0" numFmtId="0" xfId="0" applyFont="1"/>
    <xf fontId="0" fillId="0" borderId="0" numFmtId="0" xfId="0"/>
    <xf fontId="4" fillId="0" borderId="0" numFmtId="0" xfId="0" applyFont="1"/>
    <xf fontId="0" fillId="0" borderId="0" numFmtId="0" xfId="0" quotePrefix="1"/>
    <xf fontId="2" fillId="0" borderId="0" numFmtId="0" xfId="0" applyFont="1" quotePrefix="1"/>
    <xf fontId="5" fillId="0" borderId="0" numFmtId="0" xfId="0" applyFont="1"/>
    <xf fontId="6" fillId="0" borderId="0" numFmtId="0" xfId="0" applyFont="1"/>
    <xf fontId="0" fillId="0" borderId="0" numFmtId="0" xfId="0">
      <protection hidden="0" locked="1"/>
    </xf>
    <xf fontId="7" fillId="0" borderId="0" numFmtId="0" xfId="0" applyFont="1"/>
    <xf fontId="7" fillId="0" borderId="0" numFmtId="0" xfId="0" applyFont="1">
      <protection hidden="0" locked="1"/>
    </xf>
    <xf fontId="7" fillId="0" borderId="0" numFmtId="0" xfId="0" applyFont="1" quotePrefix="1"/>
    <xf fontId="8" fillId="0" borderId="0" numFmtId="0" xfId="0" applyFont="1"/>
    <xf fontId="7" fillId="0" borderId="0" numFmtId="0" xfId="0" applyFont="1" applyAlignment="1">
      <alignment horizontal="right"/>
    </xf>
    <xf fontId="7" fillId="0" borderId="1" numFmtId="0" xfId="0" applyFont="1" applyBorder="1" applyAlignment="1">
      <alignment horizontal="right"/>
    </xf>
    <xf fontId="7" fillId="0" borderId="1" numFmtId="0" xfId="0" applyFont="1" applyBorder="1"/>
    <xf fontId="0" fillId="0" borderId="1" numFmtId="0" xfId="0" applyBorder="1"/>
    <xf fontId="0" fillId="0" borderId="1" numFmtId="0" xfId="0" applyBorder="1">
      <protection hidden="0" locked="1"/>
    </xf>
    <xf fontId="7" fillId="0" borderId="1" numFmtId="0" xfId="0" applyFont="1" applyBorder="1" applyAlignment="1">
      <alignment horizontal="right"/>
      <protection hidden="0" locked="1"/>
    </xf>
    <xf fontId="0" fillId="0" borderId="0" numFmt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ohmslawcalculator.com/voltage-divider-calcul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11.40234375"/>
    <col customWidth="1" min="4" max="4" style="0" width="11.28125"/>
    <col bestFit="1" min="5" max="5" width="9.55078125"/>
  </cols>
  <sheetData>
    <row r="1" ht="30.75">
      <c r="E1" s="1" t="s">
        <v>0</v>
      </c>
    </row>
    <row r="3" ht="23.25">
      <c r="C3" s="2" t="s">
        <v>1</v>
      </c>
      <c r="D3" s="2">
        <v>50</v>
      </c>
      <c r="E3" s="2" t="s">
        <v>2</v>
      </c>
    </row>
    <row r="4" ht="18.75">
      <c r="C4" s="3" t="s">
        <v>3</v>
      </c>
      <c r="D4" s="3">
        <v>100</v>
      </c>
      <c r="E4" s="3" t="s">
        <v>4</v>
      </c>
    </row>
    <row r="5" ht="18.75">
      <c r="B5" s="3" t="s">
        <v>5</v>
      </c>
      <c r="C5" s="3" t="s">
        <v>6</v>
      </c>
      <c r="D5" s="3">
        <f>SQRT(D4*D3)</f>
        <v>70.710678118654755</v>
      </c>
      <c r="E5" s="3" t="s">
        <v>7</v>
      </c>
      <c r="F5" s="3"/>
      <c r="G5" s="3"/>
      <c r="H5" s="3">
        <f>(D5*D5)/D3</f>
        <v>100</v>
      </c>
      <c r="I5" s="3" t="s">
        <v>4</v>
      </c>
    </row>
    <row r="6" ht="14.25">
      <c r="B6" s="4" t="s">
        <v>8</v>
      </c>
      <c r="C6" s="4"/>
      <c r="D6">
        <f>D5-F11</f>
        <v>70.639967440536097</v>
      </c>
      <c r="E6" s="4"/>
      <c r="H6" s="4"/>
      <c r="I6" s="4"/>
    </row>
    <row r="7" ht="14.25">
      <c r="B7" t="s">
        <v>9</v>
      </c>
    </row>
    <row r="8" ht="14.25"/>
    <row r="9" ht="26.25">
      <c r="B9" s="5" t="s">
        <v>10</v>
      </c>
      <c r="C9" s="5" t="s">
        <v>11</v>
      </c>
      <c r="D9" s="5">
        <v>50</v>
      </c>
      <c r="E9" s="5" t="s">
        <v>2</v>
      </c>
    </row>
    <row r="10" ht="18.75">
      <c r="B10" s="3" t="s">
        <v>12</v>
      </c>
      <c r="C10" s="3"/>
      <c r="D10" s="3">
        <v>0.10000000000000001</v>
      </c>
      <c r="E10" s="3" t="s">
        <v>13</v>
      </c>
      <c r="F10" s="3">
        <f>D10/1000</f>
        <v>0.0001</v>
      </c>
      <c r="G10" s="3" t="s">
        <v>4</v>
      </c>
    </row>
    <row r="11" ht="18.75">
      <c r="B11" s="3" t="s">
        <v>14</v>
      </c>
      <c r="C11" s="3" t="s">
        <v>6</v>
      </c>
      <c r="D11" s="3">
        <v>0.070709999999999995</v>
      </c>
      <c r="E11" s="3" t="s">
        <v>7</v>
      </c>
      <c r="F11" s="3">
        <f>SQRT(F10*D9)</f>
        <v>0.070710678118654752</v>
      </c>
      <c r="G11" s="3" t="s">
        <v>7</v>
      </c>
      <c r="H11" s="3">
        <f>(F11*F11)/D9</f>
        <v>0.0001</v>
      </c>
      <c r="I11" s="3" t="s">
        <v>4</v>
      </c>
    </row>
    <row r="12" ht="14.25"/>
    <row r="13" ht="14.25">
      <c r="E13" s="6"/>
    </row>
    <row r="14" ht="14.25">
      <c r="E14" s="6"/>
    </row>
    <row r="15" ht="14.25">
      <c r="C15" t="s">
        <v>15</v>
      </c>
      <c r="E15" s="6">
        <f>D6/F11</f>
        <v>999</v>
      </c>
      <c r="G15" s="6" t="s">
        <v>16</v>
      </c>
    </row>
    <row r="16" ht="23.25">
      <c r="C16" s="2" t="s">
        <v>9</v>
      </c>
      <c r="D16" s="2"/>
      <c r="E16" s="7">
        <f>D9*E15</f>
        <v>49950</v>
      </c>
    </row>
    <row r="17" ht="14.25"/>
    <row r="18" ht="14.25">
      <c r="C18" t="s">
        <v>17</v>
      </c>
      <c r="D18">
        <f>SUM(C20:H20)</f>
        <v>49948</v>
      </c>
      <c r="F18">
        <f>E16-D18</f>
        <v>2</v>
      </c>
    </row>
    <row r="20" ht="21">
      <c r="A20" s="8" t="s">
        <v>18</v>
      </c>
      <c r="C20" s="8">
        <v>47000</v>
      </c>
      <c r="D20" s="8">
        <v>2200</v>
      </c>
      <c r="E20" s="8">
        <v>680</v>
      </c>
      <c r="F20" s="8">
        <v>68</v>
      </c>
      <c r="G20" s="9"/>
      <c r="H20" s="8" t="s">
        <v>19</v>
      </c>
    </row>
    <row r="22" ht="14.25">
      <c r="A22" s="6" t="s">
        <v>20</v>
      </c>
    </row>
    <row r="23" ht="14.25">
      <c r="A23" s="10"/>
      <c r="B23" s="10"/>
      <c r="C23" s="10" t="s">
        <v>1</v>
      </c>
      <c r="D23" s="10">
        <v>50</v>
      </c>
      <c r="E23" s="10" t="s">
        <v>2</v>
      </c>
      <c r="F23" s="10"/>
      <c r="G23" s="10"/>
      <c r="H23" s="10"/>
      <c r="I23" s="10"/>
    </row>
    <row r="24" ht="14.25">
      <c r="A24" s="10"/>
      <c r="B24" s="10"/>
      <c r="C24" s="10" t="s">
        <v>3</v>
      </c>
      <c r="D24" s="10">
        <v>50</v>
      </c>
      <c r="E24" s="10" t="s">
        <v>4</v>
      </c>
      <c r="F24" s="10"/>
      <c r="G24" s="10"/>
      <c r="H24" s="10"/>
      <c r="I24" s="10"/>
    </row>
    <row r="25" ht="14.25">
      <c r="A25" s="10"/>
      <c r="B25" s="10" t="s">
        <v>5</v>
      </c>
      <c r="C25" t="s">
        <v>6</v>
      </c>
      <c r="D25" s="10">
        <f>SQRT(D24*D23)</f>
        <v>50</v>
      </c>
      <c r="E25" t="s">
        <v>7</v>
      </c>
      <c r="F25" s="10"/>
      <c r="G25" s="10"/>
      <c r="H25" s="10">
        <f>(D25*D25)/D23</f>
        <v>50</v>
      </c>
      <c r="I25" s="10" t="s">
        <v>4</v>
      </c>
    </row>
    <row r="26" ht="14.25">
      <c r="A26" s="10"/>
      <c r="B26" t="s">
        <v>8</v>
      </c>
      <c r="C26">
        <v>50</v>
      </c>
      <c r="D26" s="4" t="s">
        <v>21</v>
      </c>
      <c r="F26" s="10">
        <f>D25-F32</f>
        <v>49.929289321881342</v>
      </c>
      <c r="G26" s="10"/>
    </row>
    <row r="27" ht="14.25">
      <c r="A27" s="10"/>
      <c r="B27" s="10" t="s">
        <v>22</v>
      </c>
      <c r="C27" s="10">
        <f>(D33*D33)*C28*1000</f>
        <v>70.710678118654755</v>
      </c>
      <c r="D27" t="s">
        <v>13</v>
      </c>
      <c r="E27" s="10"/>
      <c r="F27" s="10"/>
      <c r="H27" s="10"/>
      <c r="I27" s="10"/>
    </row>
    <row r="28" ht="14.25">
      <c r="A28" s="10"/>
      <c r="B28" s="10" t="s">
        <v>9</v>
      </c>
      <c r="C28" s="10">
        <f>C35</f>
        <v>35355.33905932738</v>
      </c>
      <c r="D28" t="s">
        <v>21</v>
      </c>
      <c r="E28" s="10"/>
      <c r="F28" s="10"/>
      <c r="G28" s="10"/>
      <c r="H28" s="10"/>
      <c r="I28" s="10"/>
    </row>
    <row r="29" ht="14.25">
      <c r="A29" s="10"/>
      <c r="B29" s="10"/>
      <c r="C29" s="10"/>
      <c r="D29" s="4"/>
      <c r="E29" s="10"/>
      <c r="F29" s="10"/>
      <c r="G29" s="10"/>
      <c r="H29" s="10"/>
      <c r="I29" s="10"/>
    </row>
    <row r="30" ht="14.25">
      <c r="A30" s="10"/>
      <c r="B30" s="10" t="s">
        <v>10</v>
      </c>
      <c r="C30" s="10" t="s">
        <v>11</v>
      </c>
      <c r="D30" s="10">
        <v>50</v>
      </c>
      <c r="E30" s="10" t="s">
        <v>21</v>
      </c>
      <c r="F30" s="10"/>
      <c r="G30" s="10"/>
      <c r="H30" s="10"/>
      <c r="I30" s="10"/>
    </row>
    <row r="31" ht="14.25">
      <c r="A31" s="10"/>
      <c r="B31" s="10"/>
      <c r="C31" s="10" t="s">
        <v>3</v>
      </c>
      <c r="D31" s="10">
        <v>0.10000000000000001</v>
      </c>
      <c r="E31" s="10" t="s">
        <v>13</v>
      </c>
      <c r="F31" s="10">
        <f>D31/1000</f>
        <v>0.0001</v>
      </c>
      <c r="G31" s="10"/>
      <c r="H31" s="10"/>
      <c r="I31" s="10"/>
    </row>
    <row r="32" ht="14.25">
      <c r="A32" s="10"/>
      <c r="B32" s="10" t="s">
        <v>14</v>
      </c>
      <c r="C32" s="10" t="s">
        <v>6</v>
      </c>
      <c r="D32" s="10">
        <v>0.070709999999999995</v>
      </c>
      <c r="E32" s="10" t="s">
        <v>7</v>
      </c>
      <c r="F32" s="10">
        <f>SQRT(F31*D30)</f>
        <v>0.070710678118654752</v>
      </c>
      <c r="G32" s="10" t="s">
        <v>7</v>
      </c>
      <c r="H32" s="10">
        <f>(F32*F32)/D30</f>
        <v>0.0001</v>
      </c>
      <c r="I32" s="10" t="s">
        <v>4</v>
      </c>
    </row>
    <row r="33" ht="14.25">
      <c r="A33" s="10"/>
      <c r="B33" s="10" t="s">
        <v>23</v>
      </c>
      <c r="C33" s="10" t="s">
        <v>24</v>
      </c>
      <c r="D33">
        <f>F32/D30</f>
        <v>0.001414213562373095</v>
      </c>
      <c r="E33" s="10" t="s">
        <v>25</v>
      </c>
      <c r="F33" s="10"/>
      <c r="G33" s="10"/>
      <c r="H33" s="10"/>
      <c r="I33" s="10"/>
    </row>
    <row r="34" ht="14.25">
      <c r="A34" s="10"/>
      <c r="B34" s="10"/>
      <c r="C34" s="10" t="s">
        <v>15</v>
      </c>
      <c r="D34">
        <f>C26/F32</f>
        <v>707.10678118654755</v>
      </c>
      <c r="F34" t="s">
        <v>16</v>
      </c>
      <c r="H34" s="10"/>
      <c r="I34" s="10"/>
    </row>
    <row r="35" ht="14.25">
      <c r="A35" s="10"/>
      <c r="B35" s="10" t="s">
        <v>9</v>
      </c>
      <c r="C35" s="11">
        <f>D30*D34</f>
        <v>35355.33905932738</v>
      </c>
      <c r="D35" t="s">
        <v>21</v>
      </c>
      <c r="F35" s="10"/>
      <c r="G35" s="10"/>
      <c r="H35" s="10"/>
      <c r="I35" s="10"/>
    </row>
    <row r="36" ht="14.25">
      <c r="A36" s="10"/>
      <c r="B36" s="10" t="s">
        <v>26</v>
      </c>
      <c r="C36" s="10">
        <f>(D33*D33)*D30*1000</f>
        <v>0.099999999999999992</v>
      </c>
      <c r="D36" t="s">
        <v>13</v>
      </c>
      <c r="E36" s="10"/>
      <c r="F36" s="10"/>
      <c r="G36" s="10"/>
      <c r="I36" s="10"/>
    </row>
    <row r="37" ht="14.25">
      <c r="A37" s="10"/>
      <c r="B37" s="12" t="s">
        <v>27</v>
      </c>
      <c r="C37" s="11"/>
      <c r="D37" s="12">
        <f>SUM(C39:H39)</f>
        <v>35302.400000000001</v>
      </c>
      <c r="E37" s="10"/>
      <c r="F37" s="10">
        <f>C35-D37</f>
        <v>52.939059327378345</v>
      </c>
      <c r="G37" s="10"/>
      <c r="H37" s="10"/>
      <c r="I37" s="10"/>
    </row>
    <row r="38" ht="14.25">
      <c r="A38" s="10"/>
      <c r="B38" s="12" t="s">
        <v>28</v>
      </c>
      <c r="C38" s="12">
        <f>(1-(D37/C35))*100</f>
        <v>0.14973427136010242</v>
      </c>
      <c r="D38" s="13" t="s">
        <v>29</v>
      </c>
      <c r="E38" s="10"/>
      <c r="F38" s="10"/>
      <c r="G38" s="10"/>
      <c r="I38" s="10"/>
    </row>
    <row r="39" ht="14.25">
      <c r="A39" s="10"/>
      <c r="B39" s="11" t="s">
        <v>18</v>
      </c>
      <c r="C39" s="11">
        <v>32000</v>
      </c>
      <c r="D39" s="11">
        <v>3280</v>
      </c>
      <c r="E39" s="11">
        <v>22.399999999999999</v>
      </c>
      <c r="F39" s="11"/>
      <c r="G39" s="10"/>
      <c r="H39" s="10"/>
      <c r="I39" s="10"/>
    </row>
    <row r="40" ht="14.25">
      <c r="A40" s="10"/>
      <c r="B40" s="10"/>
      <c r="C40" s="10"/>
      <c r="E40" s="10"/>
      <c r="F40" s="10"/>
      <c r="G40" s="10"/>
      <c r="H40" s="10"/>
      <c r="I40" s="10"/>
    </row>
    <row r="41" ht="14.25">
      <c r="B41" t="s">
        <v>3</v>
      </c>
      <c r="C41">
        <f>(F26*F26)/D37</f>
        <v>0.070616556726685278</v>
      </c>
    </row>
    <row r="42" ht="14.25"/>
    <row r="43" ht="14.25">
      <c r="B43" s="6" t="s">
        <v>30</v>
      </c>
    </row>
    <row r="44" ht="14.25">
      <c r="B44" s="14" t="s">
        <v>31</v>
      </c>
    </row>
    <row r="46" ht="14.25"/>
  </sheetData>
  <hyperlinks>
    <hyperlink r:id="rId1" ref="B4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A1" activeCellId="0" sqref="A1"/>
    </sheetView>
  </sheetViews>
  <sheetFormatPr defaultRowHeight="14.25"/>
  <cols>
    <col min="2" max="3" style="15" width="9.140625"/>
    <col customWidth="1" min="4" max="4" width="10.140625"/>
    <col bestFit="1" min="6" max="6" width="11.00390625"/>
    <col customWidth="1" min="14" max="14" width="11.140625"/>
    <col customWidth="1" min="15" max="15" width="12.140625"/>
    <col customWidth="1" min="16" max="16" width="8.8515625"/>
  </cols>
  <sheetData>
    <row r="1" ht="14.25">
      <c r="B1" s="15"/>
      <c r="C1" s="15"/>
    </row>
    <row r="2" ht="14.25">
      <c r="B2" s="15"/>
    </row>
    <row r="3" ht="14.25"/>
    <row r="4" ht="14.25"/>
    <row r="5" ht="14.25"/>
    <row r="6" ht="14.25"/>
    <row r="7" ht="14.25"/>
    <row r="8" s="11" customFormat="1" ht="14.25">
      <c r="B8" s="16" t="s">
        <v>3</v>
      </c>
      <c r="C8" s="16" t="s">
        <v>32</v>
      </c>
      <c r="D8" s="16" t="s">
        <v>33</v>
      </c>
      <c r="E8" s="17"/>
      <c r="F8" s="17" t="s">
        <v>34</v>
      </c>
      <c r="G8" s="17"/>
      <c r="H8" s="17"/>
      <c r="I8" s="17" t="s">
        <v>35</v>
      </c>
      <c r="J8" s="17"/>
      <c r="K8" s="17" t="s">
        <v>36</v>
      </c>
      <c r="L8" s="17"/>
      <c r="M8" s="17" t="s">
        <v>37</v>
      </c>
      <c r="N8" s="17"/>
      <c r="O8" s="17" t="s">
        <v>38</v>
      </c>
      <c r="P8" s="17"/>
      <c r="Q8" s="11"/>
      <c r="S8" s="11"/>
      <c r="U8" s="11"/>
    </row>
    <row r="9" ht="14.25">
      <c r="B9" s="16" t="s">
        <v>39</v>
      </c>
      <c r="C9" s="16">
        <v>50</v>
      </c>
      <c r="D9" s="18">
        <v>1</v>
      </c>
      <c r="E9" s="18" t="s">
        <v>40</v>
      </c>
      <c r="F9" s="18">
        <v>61.68</v>
      </c>
      <c r="G9" s="18" t="s">
        <v>41</v>
      </c>
      <c r="H9" s="18"/>
      <c r="I9" s="18">
        <f>$C$9-F9</f>
        <v>-11.68</v>
      </c>
      <c r="J9" s="18" t="s">
        <v>32</v>
      </c>
      <c r="K9" s="18">
        <f>$C$10-F9</f>
        <v>-14.68</v>
      </c>
      <c r="L9" s="18" t="s">
        <v>32</v>
      </c>
      <c r="M9" s="18">
        <f>$C$11-F9</f>
        <v>-24.68</v>
      </c>
      <c r="N9" s="18" t="s">
        <v>32</v>
      </c>
      <c r="O9" s="18">
        <f>$C$12-F9</f>
        <v>-31.68</v>
      </c>
      <c r="P9" s="18" t="s">
        <v>32</v>
      </c>
    </row>
    <row r="10" ht="14.25">
      <c r="B10" s="16" t="s">
        <v>42</v>
      </c>
      <c r="C10" s="16">
        <v>47</v>
      </c>
      <c r="D10" s="18">
        <v>1.8</v>
      </c>
      <c r="E10" s="18" t="s">
        <v>40</v>
      </c>
      <c r="F10" s="18">
        <v>58.630000000000003</v>
      </c>
      <c r="G10" s="18" t="s">
        <v>41</v>
      </c>
      <c r="H10" s="18"/>
      <c r="I10" s="19">
        <f t="shared" ref="I10:I30" si="0">$C$9-F10</f>
        <v>-8.6300000000000026</v>
      </c>
      <c r="J10" s="18" t="s">
        <v>32</v>
      </c>
      <c r="K10" s="19">
        <f t="shared" ref="K10:K30" si="1">$C$10-F10</f>
        <v>-11.630000000000003</v>
      </c>
      <c r="L10" s="18" t="s">
        <v>32</v>
      </c>
      <c r="M10" s="19">
        <f t="shared" ref="M10:M30" si="2">$C$11-F10</f>
        <v>-21.630000000000003</v>
      </c>
      <c r="N10" s="18" t="s">
        <v>32</v>
      </c>
      <c r="O10" s="19">
        <f t="shared" ref="O10:O30" si="3">$C$12-F10</f>
        <v>-28.630000000000003</v>
      </c>
      <c r="P10" s="18" t="s">
        <v>32</v>
      </c>
    </row>
    <row r="11" ht="14.25">
      <c r="B11" s="16" t="s">
        <v>43</v>
      </c>
      <c r="C11" s="16">
        <v>37</v>
      </c>
      <c r="D11" s="18">
        <v>3</v>
      </c>
      <c r="E11" s="18" t="s">
        <v>40</v>
      </c>
      <c r="F11" s="18">
        <v>53.890000000000001</v>
      </c>
      <c r="G11" s="18" t="s">
        <v>41</v>
      </c>
      <c r="H11" s="18"/>
      <c r="I11" s="19">
        <f t="shared" si="0"/>
        <v>-3.8900000000000006</v>
      </c>
      <c r="J11" s="18" t="s">
        <v>32</v>
      </c>
      <c r="K11" s="19">
        <f t="shared" si="1"/>
        <v>-6.8900000000000006</v>
      </c>
      <c r="L11" s="18" t="s">
        <v>32</v>
      </c>
      <c r="M11" s="19">
        <f t="shared" si="2"/>
        <v>-16.890000000000001</v>
      </c>
      <c r="N11" s="18" t="s">
        <v>32</v>
      </c>
      <c r="O11" s="19">
        <f t="shared" si="3"/>
        <v>-23.890000000000001</v>
      </c>
      <c r="P11" s="18" t="s">
        <v>32</v>
      </c>
      <c r="U11" s="20"/>
      <c r="V11" s="20"/>
      <c r="W11" s="20"/>
      <c r="X11" s="20"/>
      <c r="Y11" s="16"/>
      <c r="Z11" s="19"/>
      <c r="AA11" s="10"/>
    </row>
    <row r="12" ht="14.25">
      <c r="B12" s="16" t="s">
        <v>44</v>
      </c>
      <c r="C12" s="16">
        <v>30</v>
      </c>
      <c r="D12" s="18">
        <v>3.5</v>
      </c>
      <c r="E12" s="18" t="s">
        <v>40</v>
      </c>
      <c r="F12" s="18">
        <v>52.460000000000001</v>
      </c>
      <c r="G12" s="18" t="s">
        <v>41</v>
      </c>
      <c r="H12" s="18"/>
      <c r="I12" s="19">
        <f t="shared" si="0"/>
        <v>-2.4600000000000009</v>
      </c>
      <c r="J12" s="18" t="s">
        <v>32</v>
      </c>
      <c r="K12" s="19">
        <f t="shared" si="1"/>
        <v>-5.4600000000000009</v>
      </c>
      <c r="L12" s="18" t="s">
        <v>32</v>
      </c>
      <c r="M12" s="19">
        <f t="shared" si="2"/>
        <v>-15.460000000000001</v>
      </c>
      <c r="N12" s="18" t="s">
        <v>32</v>
      </c>
      <c r="O12" s="19">
        <f t="shared" si="3"/>
        <v>-22.460000000000001</v>
      </c>
      <c r="P12" s="18" t="s">
        <v>32</v>
      </c>
      <c r="U12" s="18"/>
      <c r="V12" s="18"/>
      <c r="W12" s="18"/>
      <c r="X12" s="18"/>
      <c r="Y12" s="19"/>
      <c r="Z12" s="19"/>
      <c r="AA12" s="10"/>
    </row>
    <row r="13" ht="14.25">
      <c r="D13" s="18">
        <v>5</v>
      </c>
      <c r="E13" s="18" t="s">
        <v>40</v>
      </c>
      <c r="F13" s="18">
        <v>51.369999999999997</v>
      </c>
      <c r="G13" s="18" t="s">
        <v>41</v>
      </c>
      <c r="H13" s="18"/>
      <c r="I13" s="19">
        <f t="shared" si="0"/>
        <v>-1.3699999999999974</v>
      </c>
      <c r="J13" s="18" t="s">
        <v>32</v>
      </c>
      <c r="K13" s="19">
        <f t="shared" si="1"/>
        <v>-4.3699999999999974</v>
      </c>
      <c r="L13" s="18" t="s">
        <v>32</v>
      </c>
      <c r="M13" s="19">
        <f t="shared" si="2"/>
        <v>-14.369999999999997</v>
      </c>
      <c r="N13" s="18" t="s">
        <v>32</v>
      </c>
      <c r="O13" s="19">
        <f t="shared" si="3"/>
        <v>-21.369999999999997</v>
      </c>
      <c r="P13" s="18" t="s">
        <v>32</v>
      </c>
      <c r="U13" s="18"/>
      <c r="V13" s="18"/>
      <c r="W13" s="18"/>
      <c r="X13" s="18"/>
      <c r="Y13" s="19"/>
      <c r="Z13" s="19"/>
      <c r="AA13" s="10"/>
    </row>
    <row r="14" ht="14.25">
      <c r="D14" s="18">
        <v>7</v>
      </c>
      <c r="E14" s="18" t="s">
        <v>40</v>
      </c>
      <c r="F14" s="18">
        <v>52.630000000000003</v>
      </c>
      <c r="G14" s="18" t="s">
        <v>41</v>
      </c>
      <c r="H14" s="18"/>
      <c r="I14" s="19">
        <f t="shared" si="0"/>
        <v>-2.6300000000000026</v>
      </c>
      <c r="J14" s="18" t="s">
        <v>32</v>
      </c>
      <c r="K14" s="19">
        <f t="shared" si="1"/>
        <v>-5.6300000000000026</v>
      </c>
      <c r="L14" s="18" t="s">
        <v>32</v>
      </c>
      <c r="M14" s="19">
        <f t="shared" si="2"/>
        <v>-15.630000000000003</v>
      </c>
      <c r="N14" s="18" t="s">
        <v>32</v>
      </c>
      <c r="O14" s="19">
        <f t="shared" si="3"/>
        <v>-22.630000000000003</v>
      </c>
      <c r="P14" s="18" t="s">
        <v>32</v>
      </c>
      <c r="R14" s="21"/>
      <c r="T14" s="21"/>
      <c r="V14" s="21"/>
      <c r="W14" s="10"/>
      <c r="X14" s="10"/>
    </row>
    <row r="15" ht="14.25">
      <c r="D15" s="18">
        <v>9</v>
      </c>
      <c r="E15" s="18" t="s">
        <v>40</v>
      </c>
      <c r="F15" s="18">
        <v>54.219999999999999</v>
      </c>
      <c r="G15" s="19" t="s">
        <v>41</v>
      </c>
      <c r="H15" s="19"/>
      <c r="I15" s="19">
        <f t="shared" si="0"/>
        <v>-4.2199999999999989</v>
      </c>
      <c r="J15" s="18" t="s">
        <v>32</v>
      </c>
      <c r="K15" s="19">
        <f t="shared" si="1"/>
        <v>-7.2199999999999989</v>
      </c>
      <c r="L15" s="18" t="s">
        <v>32</v>
      </c>
      <c r="M15" s="19">
        <f t="shared" si="2"/>
        <v>-17.219999999999999</v>
      </c>
      <c r="N15" s="18" t="s">
        <v>32</v>
      </c>
      <c r="O15" s="19">
        <f t="shared" si="3"/>
        <v>-24.219999999999999</v>
      </c>
      <c r="P15" s="18" t="s">
        <v>32</v>
      </c>
      <c r="V15" s="4"/>
      <c r="Y15" s="10"/>
    </row>
    <row r="16" ht="14.25">
      <c r="D16" s="18">
        <v>10</v>
      </c>
      <c r="E16" s="18" t="s">
        <v>40</v>
      </c>
      <c r="F16" s="18">
        <v>55.369999999999997</v>
      </c>
      <c r="G16" s="19" t="s">
        <v>41</v>
      </c>
      <c r="H16" s="19"/>
      <c r="I16" s="19">
        <f t="shared" si="0"/>
        <v>-5.3699999999999974</v>
      </c>
      <c r="J16" s="18" t="s">
        <v>32</v>
      </c>
      <c r="K16" s="19">
        <f t="shared" si="1"/>
        <v>-8.3699999999999974</v>
      </c>
      <c r="L16" s="18" t="s">
        <v>32</v>
      </c>
      <c r="M16" s="19">
        <f t="shared" si="2"/>
        <v>-18.369999999999997</v>
      </c>
      <c r="N16" s="18" t="s">
        <v>32</v>
      </c>
      <c r="O16" s="19">
        <f t="shared" si="3"/>
        <v>-25.369999999999997</v>
      </c>
      <c r="P16" s="18" t="s">
        <v>32</v>
      </c>
      <c r="R16" s="10"/>
    </row>
    <row r="17" ht="14.25">
      <c r="D17" s="18">
        <v>14</v>
      </c>
      <c r="E17" s="18" t="s">
        <v>40</v>
      </c>
      <c r="F17" s="18">
        <v>55.509999999999998</v>
      </c>
      <c r="G17" s="19" t="s">
        <v>41</v>
      </c>
      <c r="H17" s="19"/>
      <c r="I17" s="19">
        <f t="shared" si="0"/>
        <v>-5.509999999999998</v>
      </c>
      <c r="J17" s="18" t="s">
        <v>32</v>
      </c>
      <c r="K17" s="19">
        <f t="shared" si="1"/>
        <v>-8.509999999999998</v>
      </c>
      <c r="L17" s="18" t="s">
        <v>32</v>
      </c>
      <c r="M17" s="19">
        <f t="shared" si="2"/>
        <v>-18.509999999999998</v>
      </c>
      <c r="N17" s="18" t="s">
        <v>32</v>
      </c>
      <c r="O17" s="19">
        <f t="shared" si="3"/>
        <v>-25.509999999999998</v>
      </c>
      <c r="P17" s="18" t="s">
        <v>32</v>
      </c>
      <c r="R17" s="10"/>
    </row>
    <row r="18" ht="14.25">
      <c r="D18" s="18">
        <v>17</v>
      </c>
      <c r="E18" s="18" t="s">
        <v>40</v>
      </c>
      <c r="F18" s="18">
        <v>55.68</v>
      </c>
      <c r="G18" s="19" t="s">
        <v>41</v>
      </c>
      <c r="H18" s="19"/>
      <c r="I18" s="19">
        <f t="shared" si="0"/>
        <v>-5.6799999999999997</v>
      </c>
      <c r="J18" s="18" t="s">
        <v>32</v>
      </c>
      <c r="K18" s="19">
        <f t="shared" si="1"/>
        <v>-8.6799999999999997</v>
      </c>
      <c r="L18" s="18" t="s">
        <v>32</v>
      </c>
      <c r="M18" s="19">
        <f t="shared" si="2"/>
        <v>-18.68</v>
      </c>
      <c r="N18" s="18" t="s">
        <v>32</v>
      </c>
      <c r="O18" s="19">
        <f t="shared" si="3"/>
        <v>-25.68</v>
      </c>
      <c r="P18" s="18" t="s">
        <v>32</v>
      </c>
      <c r="R18" s="10"/>
    </row>
    <row r="19" ht="14.25">
      <c r="D19" s="18">
        <v>20</v>
      </c>
      <c r="E19" s="18" t="s">
        <v>40</v>
      </c>
      <c r="F19" s="18">
        <v>55.729999999999997</v>
      </c>
      <c r="G19" s="19" t="s">
        <v>41</v>
      </c>
      <c r="H19" s="19"/>
      <c r="I19" s="19">
        <f t="shared" si="0"/>
        <v>-5.7299999999999969</v>
      </c>
      <c r="J19" s="18" t="s">
        <v>32</v>
      </c>
      <c r="K19" s="19">
        <f t="shared" si="1"/>
        <v>-8.7299999999999969</v>
      </c>
      <c r="L19" s="18" t="s">
        <v>32</v>
      </c>
      <c r="M19" s="19">
        <f t="shared" si="2"/>
        <v>-18.729999999999997</v>
      </c>
      <c r="N19" s="18" t="s">
        <v>32</v>
      </c>
      <c r="O19" s="19">
        <f t="shared" si="3"/>
        <v>-25.729999999999997</v>
      </c>
      <c r="P19" s="18" t="s">
        <v>32</v>
      </c>
      <c r="R19" s="10"/>
    </row>
    <row r="20" ht="14.25">
      <c r="B20" s="15"/>
      <c r="C20" s="15"/>
      <c r="D20" s="18">
        <v>21</v>
      </c>
      <c r="E20" s="18" t="s">
        <v>40</v>
      </c>
      <c r="F20" s="18">
        <v>56.020000000000003</v>
      </c>
      <c r="G20" s="19" t="s">
        <v>41</v>
      </c>
      <c r="H20" s="19"/>
      <c r="I20" s="19">
        <f t="shared" si="0"/>
        <v>-6.0200000000000031</v>
      </c>
      <c r="J20" s="18" t="s">
        <v>32</v>
      </c>
      <c r="K20" s="19">
        <f t="shared" si="1"/>
        <v>-9.0200000000000031</v>
      </c>
      <c r="L20" s="18" t="s">
        <v>32</v>
      </c>
      <c r="M20" s="19">
        <f t="shared" si="2"/>
        <v>-19.020000000000003</v>
      </c>
      <c r="N20" s="18" t="s">
        <v>32</v>
      </c>
      <c r="O20" s="19">
        <f t="shared" si="3"/>
        <v>-26.020000000000003</v>
      </c>
      <c r="P20" s="18" t="s">
        <v>32</v>
      </c>
      <c r="R20" s="10"/>
    </row>
    <row r="21" ht="14.25">
      <c r="B21" s="15"/>
      <c r="C21" s="15"/>
      <c r="D21" s="18">
        <v>24</v>
      </c>
      <c r="E21" s="18" t="s">
        <v>40</v>
      </c>
      <c r="F21" s="18">
        <v>55.57</v>
      </c>
      <c r="G21" s="19" t="s">
        <v>41</v>
      </c>
      <c r="H21" s="19"/>
      <c r="I21" s="19">
        <f t="shared" si="0"/>
        <v>-5.5700000000000003</v>
      </c>
      <c r="J21" s="18" t="s">
        <v>32</v>
      </c>
      <c r="K21" s="19">
        <f t="shared" si="1"/>
        <v>-8.5700000000000003</v>
      </c>
      <c r="L21" s="18" t="s">
        <v>32</v>
      </c>
      <c r="M21" s="19">
        <f t="shared" si="2"/>
        <v>-18.57</v>
      </c>
      <c r="N21" s="18" t="s">
        <v>32</v>
      </c>
      <c r="O21" s="19">
        <f t="shared" si="3"/>
        <v>-25.57</v>
      </c>
      <c r="P21" s="18" t="s">
        <v>32</v>
      </c>
      <c r="R21" s="10"/>
      <c r="V21" s="10"/>
    </row>
    <row r="22" ht="14.25">
      <c r="D22" s="18">
        <v>28</v>
      </c>
      <c r="E22" s="18" t="s">
        <v>40</v>
      </c>
      <c r="F22" s="18">
        <v>56.100000000000001</v>
      </c>
      <c r="G22" s="19" t="s">
        <v>41</v>
      </c>
      <c r="H22" s="19"/>
      <c r="I22" s="19">
        <f t="shared" si="0"/>
        <v>-6.1000000000000014</v>
      </c>
      <c r="J22" s="18" t="s">
        <v>32</v>
      </c>
      <c r="K22" s="19">
        <f t="shared" si="1"/>
        <v>-9.1000000000000014</v>
      </c>
      <c r="L22" s="18" t="s">
        <v>32</v>
      </c>
      <c r="M22" s="19">
        <f t="shared" si="2"/>
        <v>-19.100000000000001</v>
      </c>
      <c r="N22" s="18" t="s">
        <v>32</v>
      </c>
      <c r="O22" s="19">
        <f t="shared" si="3"/>
        <v>-26.100000000000001</v>
      </c>
      <c r="P22" s="18" t="s">
        <v>32</v>
      </c>
      <c r="R22" s="10"/>
      <c r="V22" s="10"/>
    </row>
    <row r="23" ht="14.25">
      <c r="D23" s="18">
        <v>29</v>
      </c>
      <c r="E23" s="18" t="s">
        <v>40</v>
      </c>
      <c r="F23" s="18">
        <v>55.939999999999998</v>
      </c>
      <c r="G23" s="19" t="s">
        <v>41</v>
      </c>
      <c r="H23" s="19"/>
      <c r="I23" s="19">
        <f t="shared" si="0"/>
        <v>-5.9399999999999977</v>
      </c>
      <c r="J23" s="18" t="s">
        <v>32</v>
      </c>
      <c r="K23" s="19">
        <f t="shared" si="1"/>
        <v>-8.9399999999999977</v>
      </c>
      <c r="L23" s="18" t="s">
        <v>32</v>
      </c>
      <c r="M23" s="19">
        <f t="shared" si="2"/>
        <v>-18.939999999999998</v>
      </c>
      <c r="N23" s="18" t="s">
        <v>32</v>
      </c>
      <c r="O23" s="19">
        <f t="shared" si="3"/>
        <v>-25.939999999999998</v>
      </c>
      <c r="P23" s="18" t="s">
        <v>32</v>
      </c>
    </row>
    <row r="24" ht="14.25">
      <c r="D24" s="18">
        <v>50</v>
      </c>
      <c r="E24" s="18" t="s">
        <v>40</v>
      </c>
      <c r="F24" s="18">
        <v>55.740000000000002</v>
      </c>
      <c r="G24" s="19" t="s">
        <v>41</v>
      </c>
      <c r="H24" s="19"/>
      <c r="I24" s="19">
        <f t="shared" si="0"/>
        <v>-5.740000000000002</v>
      </c>
      <c r="J24" s="18" t="s">
        <v>32</v>
      </c>
      <c r="K24" s="19">
        <f t="shared" si="1"/>
        <v>-8.740000000000002</v>
      </c>
      <c r="L24" s="18" t="s">
        <v>32</v>
      </c>
      <c r="M24" s="19">
        <f t="shared" si="2"/>
        <v>-18.740000000000002</v>
      </c>
      <c r="N24" s="18" t="s">
        <v>32</v>
      </c>
      <c r="O24" s="19">
        <f t="shared" si="3"/>
        <v>-25.740000000000002</v>
      </c>
      <c r="P24" s="18" t="s">
        <v>32</v>
      </c>
    </row>
    <row r="25" ht="14.25">
      <c r="B25" s="15"/>
      <c r="C25" s="15"/>
      <c r="D25" s="18">
        <v>51</v>
      </c>
      <c r="E25" s="18" t="s">
        <v>40</v>
      </c>
      <c r="F25" s="18">
        <v>55.729999999999997</v>
      </c>
      <c r="G25" s="19" t="s">
        <v>41</v>
      </c>
      <c r="H25" s="19"/>
      <c r="I25" s="19">
        <f t="shared" si="0"/>
        <v>-5.7299999999999969</v>
      </c>
      <c r="J25" s="18" t="s">
        <v>32</v>
      </c>
      <c r="K25" s="19">
        <f t="shared" si="1"/>
        <v>-8.7299999999999969</v>
      </c>
      <c r="L25" s="18" t="s">
        <v>32</v>
      </c>
      <c r="M25" s="19">
        <f t="shared" si="2"/>
        <v>-18.729999999999997</v>
      </c>
      <c r="N25" s="18" t="s">
        <v>32</v>
      </c>
      <c r="O25" s="19">
        <f t="shared" si="3"/>
        <v>-25.729999999999997</v>
      </c>
      <c r="P25" s="18" t="s">
        <v>32</v>
      </c>
    </row>
    <row r="26" ht="14.25">
      <c r="B26" s="15"/>
      <c r="C26" s="15"/>
      <c r="D26" s="18">
        <v>52</v>
      </c>
      <c r="E26" s="18" t="s">
        <v>40</v>
      </c>
      <c r="F26" s="18">
        <v>55.850000000000001</v>
      </c>
      <c r="G26" s="19" t="s">
        <v>41</v>
      </c>
      <c r="H26" s="19"/>
      <c r="I26" s="19">
        <f t="shared" si="0"/>
        <v>-5.8500000000000014</v>
      </c>
      <c r="J26" s="18" t="s">
        <v>32</v>
      </c>
      <c r="K26" s="19">
        <f t="shared" si="1"/>
        <v>-8.8500000000000014</v>
      </c>
      <c r="L26" s="18" t="s">
        <v>32</v>
      </c>
      <c r="M26" s="19">
        <f t="shared" si="2"/>
        <v>-18.850000000000001</v>
      </c>
      <c r="N26" s="18" t="s">
        <v>32</v>
      </c>
      <c r="O26" s="19">
        <f t="shared" si="3"/>
        <v>-25.850000000000001</v>
      </c>
      <c r="P26" s="18" t="s">
        <v>32</v>
      </c>
    </row>
    <row r="27" ht="14.25">
      <c r="B27" s="15"/>
      <c r="C27" s="15"/>
      <c r="D27" s="18">
        <v>53</v>
      </c>
      <c r="E27" s="18" t="s">
        <v>40</v>
      </c>
      <c r="F27" s="18">
        <v>55.969999999999999</v>
      </c>
      <c r="G27" s="19" t="s">
        <v>41</v>
      </c>
      <c r="H27" s="19"/>
      <c r="I27" s="19">
        <f t="shared" si="0"/>
        <v>-5.9699999999999989</v>
      </c>
      <c r="J27" s="18" t="s">
        <v>32</v>
      </c>
      <c r="K27" s="19">
        <f t="shared" si="1"/>
        <v>-8.9699999999999989</v>
      </c>
      <c r="L27" s="18" t="s">
        <v>32</v>
      </c>
      <c r="M27" s="19">
        <f t="shared" si="2"/>
        <v>-18.969999999999999</v>
      </c>
      <c r="N27" s="18" t="s">
        <v>32</v>
      </c>
      <c r="O27" s="19">
        <f t="shared" si="3"/>
        <v>-25.969999999999999</v>
      </c>
      <c r="P27" s="18" t="s">
        <v>32</v>
      </c>
    </row>
    <row r="28" ht="14.25">
      <c r="B28" s="15"/>
      <c r="C28" s="15"/>
      <c r="D28" s="18">
        <v>54</v>
      </c>
      <c r="E28" s="18" t="s">
        <v>40</v>
      </c>
      <c r="F28" s="18">
        <v>55.990000000000002</v>
      </c>
      <c r="G28" s="19" t="s">
        <v>41</v>
      </c>
      <c r="H28" s="19"/>
      <c r="I28" s="19">
        <f t="shared" si="0"/>
        <v>-5.990000000000002</v>
      </c>
      <c r="J28" s="18" t="s">
        <v>32</v>
      </c>
      <c r="K28" s="19">
        <f t="shared" si="1"/>
        <v>-8.990000000000002</v>
      </c>
      <c r="L28" s="18" t="s">
        <v>32</v>
      </c>
      <c r="M28" s="19">
        <f t="shared" si="2"/>
        <v>-18.990000000000002</v>
      </c>
      <c r="N28" s="18" t="s">
        <v>32</v>
      </c>
      <c r="O28" s="19">
        <f t="shared" si="3"/>
        <v>-25.990000000000002</v>
      </c>
      <c r="P28" s="18" t="s">
        <v>32</v>
      </c>
    </row>
    <row r="29" ht="14.25">
      <c r="B29" s="15"/>
      <c r="C29" s="15"/>
      <c r="D29" s="18">
        <v>144</v>
      </c>
      <c r="E29" s="18" t="s">
        <v>40</v>
      </c>
      <c r="F29" s="18">
        <v>58.68</v>
      </c>
      <c r="G29" s="19" t="s">
        <v>41</v>
      </c>
      <c r="H29" s="19"/>
      <c r="I29" s="19">
        <f t="shared" si="0"/>
        <v>-8.6799999999999997</v>
      </c>
      <c r="J29" s="18" t="s">
        <v>32</v>
      </c>
      <c r="K29" s="19">
        <f t="shared" si="1"/>
        <v>-11.68</v>
      </c>
      <c r="L29" s="18" t="s">
        <v>32</v>
      </c>
      <c r="M29" s="19">
        <f t="shared" si="2"/>
        <v>-21.68</v>
      </c>
      <c r="N29" s="18" t="s">
        <v>32</v>
      </c>
      <c r="O29" s="19">
        <f t="shared" si="3"/>
        <v>-28.68</v>
      </c>
      <c r="P29" s="18" t="s">
        <v>32</v>
      </c>
    </row>
    <row r="30" ht="14.25">
      <c r="B30" s="15"/>
      <c r="C30" s="15"/>
      <c r="D30" s="18">
        <v>145</v>
      </c>
      <c r="E30" s="18" t="s">
        <v>40</v>
      </c>
      <c r="F30" s="18">
        <v>58.670000000000002</v>
      </c>
      <c r="G30" s="19" t="s">
        <v>41</v>
      </c>
      <c r="H30" s="19"/>
      <c r="I30" s="19">
        <f t="shared" si="0"/>
        <v>-8.6700000000000017</v>
      </c>
      <c r="J30" s="18" t="s">
        <v>32</v>
      </c>
      <c r="K30" s="19">
        <f t="shared" si="1"/>
        <v>-11.670000000000002</v>
      </c>
      <c r="L30" s="18" t="s">
        <v>32</v>
      </c>
      <c r="M30" s="19">
        <f t="shared" si="2"/>
        <v>-21.670000000000002</v>
      </c>
      <c r="N30" s="18" t="s">
        <v>32</v>
      </c>
      <c r="O30" s="19">
        <f t="shared" si="3"/>
        <v>-28.670000000000002</v>
      </c>
      <c r="P30" s="18" t="s">
        <v>32</v>
      </c>
    </row>
    <row r="31" ht="14.25">
      <c r="B31" s="15"/>
      <c r="C31" s="15"/>
    </row>
    <row r="32" ht="14.25">
      <c r="B32" s="15"/>
      <c r="C32" s="15"/>
    </row>
    <row r="33" ht="14.25">
      <c r="B33" s="15"/>
      <c r="C33" s="15"/>
    </row>
    <row r="34" ht="14.25">
      <c r="B34" s="15"/>
      <c r="C34" s="15"/>
    </row>
    <row r="35" ht="14.25">
      <c r="B35" s="15"/>
      <c r="C35" s="15"/>
    </row>
    <row r="36" ht="14.25">
      <c r="B36" s="15"/>
      <c r="C36" s="15"/>
    </row>
    <row r="37" ht="14.25">
      <c r="B37" s="15"/>
      <c r="C37" s="15"/>
    </row>
    <row r="38" ht="14.25">
      <c r="B38" s="15"/>
      <c r="C38" s="15"/>
    </row>
    <row r="39" ht="14.25">
      <c r="B39" s="15"/>
      <c r="C39" s="15"/>
    </row>
    <row r="40" ht="14.25">
      <c r="B40" s="15"/>
      <c r="C40" s="15"/>
    </row>
    <row r="41" ht="14.25">
      <c r="B41" s="15"/>
      <c r="C41" s="15"/>
    </row>
    <row r="42" ht="14.25">
      <c r="B42" s="15"/>
      <c r="C42" s="15"/>
    </row>
    <row r="43" ht="14.25">
      <c r="B43" s="15"/>
      <c r="C43" s="15"/>
    </row>
    <row r="44" ht="14.25">
      <c r="B44" s="15"/>
      <c r="C44" s="15"/>
    </row>
    <row r="45" ht="14.25">
      <c r="B45" s="15"/>
      <c r="C45" s="15"/>
    </row>
    <row r="46" ht="14.25">
      <c r="B46" s="15"/>
      <c r="C46" s="15"/>
    </row>
    <row r="47" ht="14.25">
      <c r="B47" s="15"/>
      <c r="C47" s="15"/>
    </row>
    <row r="48" ht="14.25">
      <c r="B48" s="15"/>
      <c r="C48" s="1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2024-12-01T11:01:45Z</dcterms:modified>
</cp:coreProperties>
</file>